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20" yWindow="0" windowWidth="3383" windowHeight="818" activeTab="1"/>
  </bookViews>
  <sheets>
    <sheet name="kmeans" sheetId="1" r:id="rId1"/>
    <sheet name="all" sheetId="2" r:id="rId2"/>
    <sheet name="Sheet3" sheetId="3" r:id="rId3"/>
  </sheets>
  <functionGroups builtInGroupCount="17"/>
  <calcPr calcId="145621"/>
  <pivotCaches>
    <pivotCache cacheId="11" r:id="rId4"/>
    <pivotCache cacheId="35" r:id="rId5"/>
  </pivotCaches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2" i="2"/>
  <c r="G3" i="2"/>
  <c r="G11" i="2"/>
  <c r="G19" i="2"/>
  <c r="G27" i="2"/>
  <c r="G35" i="2"/>
  <c r="G43" i="2"/>
  <c r="G51" i="2"/>
  <c r="G59" i="2"/>
  <c r="G67" i="2"/>
  <c r="G75" i="2"/>
  <c r="G83" i="2"/>
  <c r="G91" i="2"/>
  <c r="G99" i="2"/>
  <c r="G107" i="2"/>
  <c r="G115" i="2"/>
  <c r="G123" i="2"/>
  <c r="G131" i="2"/>
  <c r="G139" i="2"/>
  <c r="G147" i="2"/>
  <c r="G155" i="2"/>
  <c r="G163" i="2"/>
  <c r="G171" i="2"/>
  <c r="G179" i="2"/>
  <c r="G187" i="2"/>
  <c r="G195" i="2"/>
  <c r="G203" i="2"/>
  <c r="G211" i="2"/>
  <c r="G219" i="2"/>
  <c r="G227" i="2"/>
  <c r="G235" i="2"/>
  <c r="G243" i="2"/>
  <c r="G251" i="2"/>
  <c r="G259" i="2"/>
  <c r="G267" i="2"/>
  <c r="G275" i="2"/>
  <c r="G283" i="2"/>
  <c r="G291" i="2"/>
  <c r="G299" i="2"/>
  <c r="G307" i="2"/>
  <c r="G315" i="2"/>
  <c r="G23" i="2"/>
  <c r="G39" i="2"/>
  <c r="G79" i="2"/>
  <c r="G111" i="2"/>
  <c r="G151" i="2"/>
  <c r="G191" i="2"/>
  <c r="G223" i="2"/>
  <c r="G247" i="2"/>
  <c r="G279" i="2"/>
  <c r="G311" i="2"/>
  <c r="G32" i="2"/>
  <c r="G56" i="2"/>
  <c r="G88" i="2"/>
  <c r="G120" i="2"/>
  <c r="G160" i="2"/>
  <c r="G192" i="2"/>
  <c r="G224" i="2"/>
  <c r="G256" i="2"/>
  <c r="G288" i="2"/>
  <c r="G320" i="2"/>
  <c r="G33" i="2"/>
  <c r="G65" i="2"/>
  <c r="G89" i="2"/>
  <c r="G113" i="2"/>
  <c r="G145" i="2"/>
  <c r="G193" i="2"/>
  <c r="G225" i="2"/>
  <c r="G265" i="2"/>
  <c r="G297" i="2"/>
  <c r="G10" i="2"/>
  <c r="G42" i="2"/>
  <c r="G50" i="2"/>
  <c r="G82" i="2"/>
  <c r="G114" i="2"/>
  <c r="G146" i="2"/>
  <c r="G162" i="2"/>
  <c r="G194" i="2"/>
  <c r="G226" i="2"/>
  <c r="G258" i="2"/>
  <c r="G290" i="2"/>
  <c r="G4" i="2"/>
  <c r="G12" i="2"/>
  <c r="G20" i="2"/>
  <c r="G28" i="2"/>
  <c r="G36" i="2"/>
  <c r="G44" i="2"/>
  <c r="G52" i="2"/>
  <c r="G60" i="2"/>
  <c r="G68" i="2"/>
  <c r="G76" i="2"/>
  <c r="G84" i="2"/>
  <c r="G92" i="2"/>
  <c r="G100" i="2"/>
  <c r="G108" i="2"/>
  <c r="G116" i="2"/>
  <c r="G124" i="2"/>
  <c r="G132" i="2"/>
  <c r="G140" i="2"/>
  <c r="G148" i="2"/>
  <c r="G156" i="2"/>
  <c r="G164" i="2"/>
  <c r="G172" i="2"/>
  <c r="G180" i="2"/>
  <c r="G188" i="2"/>
  <c r="G196" i="2"/>
  <c r="G204" i="2"/>
  <c r="G212" i="2"/>
  <c r="G220" i="2"/>
  <c r="G228" i="2"/>
  <c r="G236" i="2"/>
  <c r="G244" i="2"/>
  <c r="G252" i="2"/>
  <c r="G260" i="2"/>
  <c r="G268" i="2"/>
  <c r="G276" i="2"/>
  <c r="G284" i="2"/>
  <c r="G292" i="2"/>
  <c r="G300" i="2"/>
  <c r="G308" i="2"/>
  <c r="G316" i="2"/>
  <c r="G15" i="2"/>
  <c r="G63" i="2"/>
  <c r="G95" i="2"/>
  <c r="G127" i="2"/>
  <c r="G159" i="2"/>
  <c r="G183" i="2"/>
  <c r="G215" i="2"/>
  <c r="G255" i="2"/>
  <c r="G287" i="2"/>
  <c r="G8" i="2"/>
  <c r="G40" i="2"/>
  <c r="G72" i="2"/>
  <c r="G104" i="2"/>
  <c r="G136" i="2"/>
  <c r="G176" i="2"/>
  <c r="G208" i="2"/>
  <c r="G240" i="2"/>
  <c r="G272" i="2"/>
  <c r="G304" i="2"/>
  <c r="G9" i="2"/>
  <c r="G49" i="2"/>
  <c r="G81" i="2"/>
  <c r="G121" i="2"/>
  <c r="G153" i="2"/>
  <c r="G177" i="2"/>
  <c r="G217" i="2"/>
  <c r="G249" i="2"/>
  <c r="G273" i="2"/>
  <c r="G305" i="2"/>
  <c r="G26" i="2"/>
  <c r="G58" i="2"/>
  <c r="G90" i="2"/>
  <c r="G122" i="2"/>
  <c r="G154" i="2"/>
  <c r="G186" i="2"/>
  <c r="G210" i="2"/>
  <c r="G242" i="2"/>
  <c r="G282" i="2"/>
  <c r="G314" i="2"/>
  <c r="G5" i="2"/>
  <c r="G13" i="2"/>
  <c r="G21" i="2"/>
  <c r="G29" i="2"/>
  <c r="G37" i="2"/>
  <c r="G45" i="2"/>
  <c r="G53" i="2"/>
  <c r="G61" i="2"/>
  <c r="G69" i="2"/>
  <c r="G77" i="2"/>
  <c r="G85" i="2"/>
  <c r="G93" i="2"/>
  <c r="G101" i="2"/>
  <c r="G109" i="2"/>
  <c r="G117" i="2"/>
  <c r="G125" i="2"/>
  <c r="G133" i="2"/>
  <c r="G141" i="2"/>
  <c r="G149" i="2"/>
  <c r="G157" i="2"/>
  <c r="G165" i="2"/>
  <c r="G173" i="2"/>
  <c r="G181" i="2"/>
  <c r="G189" i="2"/>
  <c r="G197" i="2"/>
  <c r="G205" i="2"/>
  <c r="G213" i="2"/>
  <c r="G221" i="2"/>
  <c r="G229" i="2"/>
  <c r="G237" i="2"/>
  <c r="G245" i="2"/>
  <c r="G253" i="2"/>
  <c r="G261" i="2"/>
  <c r="G269" i="2"/>
  <c r="G277" i="2"/>
  <c r="G285" i="2"/>
  <c r="G293" i="2"/>
  <c r="G301" i="2"/>
  <c r="G309" i="2"/>
  <c r="G317" i="2"/>
  <c r="G31" i="2"/>
  <c r="G47" i="2"/>
  <c r="G71" i="2"/>
  <c r="G103" i="2"/>
  <c r="G135" i="2"/>
  <c r="G175" i="2"/>
  <c r="G207" i="2"/>
  <c r="G239" i="2"/>
  <c r="G271" i="2"/>
  <c r="G303" i="2"/>
  <c r="G16" i="2"/>
  <c r="G48" i="2"/>
  <c r="G80" i="2"/>
  <c r="G112" i="2"/>
  <c r="G144" i="2"/>
  <c r="G168" i="2"/>
  <c r="G200" i="2"/>
  <c r="G232" i="2"/>
  <c r="G264" i="2"/>
  <c r="G296" i="2"/>
  <c r="G17" i="2"/>
  <c r="G41" i="2"/>
  <c r="G73" i="2"/>
  <c r="G105" i="2"/>
  <c r="G137" i="2"/>
  <c r="G169" i="2"/>
  <c r="G201" i="2"/>
  <c r="G233" i="2"/>
  <c r="G257" i="2"/>
  <c r="G289" i="2"/>
  <c r="G321" i="2"/>
  <c r="G34" i="2"/>
  <c r="G74" i="2"/>
  <c r="G106" i="2"/>
  <c r="G138" i="2"/>
  <c r="G178" i="2"/>
  <c r="G218" i="2"/>
  <c r="G250" i="2"/>
  <c r="G266" i="2"/>
  <c r="G298" i="2"/>
  <c r="G6" i="2"/>
  <c r="G14" i="2"/>
  <c r="G22" i="2"/>
  <c r="G30" i="2"/>
  <c r="G38" i="2"/>
  <c r="G46" i="2"/>
  <c r="G54" i="2"/>
  <c r="G62" i="2"/>
  <c r="G70" i="2"/>
  <c r="G78" i="2"/>
  <c r="G86" i="2"/>
  <c r="G94" i="2"/>
  <c r="G102" i="2"/>
  <c r="G110" i="2"/>
  <c r="G118" i="2"/>
  <c r="G126" i="2"/>
  <c r="G134" i="2"/>
  <c r="G142" i="2"/>
  <c r="G150" i="2"/>
  <c r="G158" i="2"/>
  <c r="G166" i="2"/>
  <c r="G174" i="2"/>
  <c r="G182" i="2"/>
  <c r="G190" i="2"/>
  <c r="G198" i="2"/>
  <c r="G206" i="2"/>
  <c r="G214" i="2"/>
  <c r="G222" i="2"/>
  <c r="G230" i="2"/>
  <c r="G238" i="2"/>
  <c r="G246" i="2"/>
  <c r="G254" i="2"/>
  <c r="G262" i="2"/>
  <c r="G270" i="2"/>
  <c r="G278" i="2"/>
  <c r="G286" i="2"/>
  <c r="G294" i="2"/>
  <c r="G302" i="2"/>
  <c r="G310" i="2"/>
  <c r="G318" i="2"/>
  <c r="G7" i="2"/>
  <c r="G55" i="2"/>
  <c r="G87" i="2"/>
  <c r="G119" i="2"/>
  <c r="G143" i="2"/>
  <c r="G167" i="2"/>
  <c r="G199" i="2"/>
  <c r="G231" i="2"/>
  <c r="G263" i="2"/>
  <c r="G295" i="2"/>
  <c r="G319" i="2"/>
  <c r="G24" i="2"/>
  <c r="G64" i="2"/>
  <c r="G96" i="2"/>
  <c r="G128" i="2"/>
  <c r="G152" i="2"/>
  <c r="G184" i="2"/>
  <c r="G216" i="2"/>
  <c r="G248" i="2"/>
  <c r="G280" i="2"/>
  <c r="G312" i="2"/>
  <c r="G25" i="2"/>
  <c r="G57" i="2"/>
  <c r="G97" i="2"/>
  <c r="G129" i="2"/>
  <c r="G161" i="2"/>
  <c r="G185" i="2"/>
  <c r="G209" i="2"/>
  <c r="G241" i="2"/>
  <c r="G281" i="2"/>
  <c r="G313" i="2"/>
  <c r="G18" i="2"/>
  <c r="G66" i="2"/>
  <c r="G98" i="2"/>
  <c r="G130" i="2"/>
  <c r="G170" i="2"/>
  <c r="G202" i="2"/>
  <c r="G234" i="2"/>
  <c r="G274" i="2"/>
  <c r="G306" i="2"/>
  <c r="G2" i="2"/>
</calcChain>
</file>

<file path=xl/sharedStrings.xml><?xml version="1.0" encoding="utf-8"?>
<sst xmlns="http://schemas.openxmlformats.org/spreadsheetml/2006/main" count="1118" uniqueCount="349">
  <si>
    <t>tl2</t>
  </si>
  <si>
    <t>hytm2</t>
  </si>
  <si>
    <t>alg</t>
  </si>
  <si>
    <t>nthreads</t>
  </si>
  <si>
    <t>trial</t>
  </si>
  <si>
    <t>time</t>
  </si>
  <si>
    <t>Row Labels</t>
  </si>
  <si>
    <t>Column Labels</t>
  </si>
  <si>
    <t>Average of time</t>
  </si>
  <si>
    <t>hytm1</t>
  </si>
  <si>
    <t>benchmark</t>
  </si>
  <si>
    <t>fname</t>
  </si>
  <si>
    <t>bayes</t>
  </si>
  <si>
    <t>output/bayes-tl2-1-0-v32_r4096_n10_p40_i2_e8_s1_t.out</t>
  </si>
  <si>
    <t>output/bayes-tl2-2-0-v32_r4096_n10_p40_i2_e8_s1_t.out</t>
  </si>
  <si>
    <t>output/bayes-tl2-4-0-v32_r4096_n10_p40_i2_e8_s1_t.out</t>
  </si>
  <si>
    <t>output/bayes-tl2-8-0-v32_r4096_n10_p40_i2_e8_s1_t.out</t>
  </si>
  <si>
    <t>genome</t>
  </si>
  <si>
    <t>output/genome-tl2-1-0-g16384_s64_n16777216_t.out</t>
  </si>
  <si>
    <t>output/genome-tl2-2-0-g16384_s64_n16777216_t.out</t>
  </si>
  <si>
    <t>output/genome-tl2-4-0-g16384_s64_n16777216_t.out</t>
  </si>
  <si>
    <t>output/genome-tl2-8-0-g16384_s64_n16777216_t.out</t>
  </si>
  <si>
    <t>intruder</t>
  </si>
  <si>
    <t>output/intruder-tl2-1-0-a10_l128_n262144_s1_t.out</t>
  </si>
  <si>
    <t>output/intruder-tl2-2-0-a10_l128_n262144_s1_t.out</t>
  </si>
  <si>
    <t>output/intruder-tl2-4-0-a10_l128_n262144_s1_t.out</t>
  </si>
  <si>
    <t>output/intruder-tl2-8-0-a10_l128_n262144_s1_t.out</t>
  </si>
  <si>
    <t>kmeans</t>
  </si>
  <si>
    <t>output/kmeans-tl2-1-0-m40_n40_t0.out</t>
  </si>
  <si>
    <t>output/kmeans-tl2-2-0-m40_n40_t0.out</t>
  </si>
  <si>
    <t>output/kmeans-tl2-4-0-m40_n40_t0.out</t>
  </si>
  <si>
    <t>output/kmeans-tl2-8-0-m40_n40_t0.out</t>
  </si>
  <si>
    <t>output/kmeans-tl2-1-0-m15_n15_t0.out</t>
  </si>
  <si>
    <t>output/kmeans-tl2-2-0-m15_n15_t0.out</t>
  </si>
  <si>
    <t>output/kmeans-tl2-4-0-m15_n15_t0.out</t>
  </si>
  <si>
    <t>output/kmeans-tl2-8-0-m15_n15_t0.out</t>
  </si>
  <si>
    <t>labyrinth</t>
  </si>
  <si>
    <t>output/labyrinth-tl2-1-0-i_.out</t>
  </si>
  <si>
    <t>output/labyrinth-tl2-2-0-i_.out</t>
  </si>
  <si>
    <t>output/labyrinth-tl2-4-0-i_.out</t>
  </si>
  <si>
    <t>output/labyrinth-tl2-8-0-i_.out</t>
  </si>
  <si>
    <t>ssca2</t>
  </si>
  <si>
    <t>output/ssca2-tl2-1-0-s20_i1.out</t>
  </si>
  <si>
    <t>output/ssca2-tl2-2-0-s20_i1.out</t>
  </si>
  <si>
    <t>output/ssca2-tl2-4-0-s20_i1.out</t>
  </si>
  <si>
    <t>output/ssca2-tl2-8-0-s20_i1.out</t>
  </si>
  <si>
    <t>vacation</t>
  </si>
  <si>
    <t>output/vacation-tl2-1-0-n2_q90_u98_r1048576_t4194304_c.out</t>
  </si>
  <si>
    <t>output/vacation-tl2-2-0-n2_q90_u98_r1048576_t4194304_c.out</t>
  </si>
  <si>
    <t>output/vacation-tl2-4-0-n2_q90_u98_r1048576_t4194304_c.out</t>
  </si>
  <si>
    <t>output/vacation-tl2-8-0-n2_q90_u98_r1048576_t4194304_c.out</t>
  </si>
  <si>
    <t>output/vacation-tl2-1-0-n4_q60_u90_r1048576_t4194304_c.out</t>
  </si>
  <si>
    <t>output/vacation-tl2-2-0-n4_q60_u90_r1048576_t4194304_c.out</t>
  </si>
  <si>
    <t>output/vacation-tl2-4-0-n4_q60_u90_r1048576_t4194304_c.out</t>
  </si>
  <si>
    <t>output/vacation-tl2-8-0-n4_q60_u90_r1048576_t4194304_c.out</t>
  </si>
  <si>
    <t>yada</t>
  </si>
  <si>
    <t>output/yada-tl2-1-0-a15_i_.out</t>
  </si>
  <si>
    <t>output/yada-tl2-2-0-a15_i_.out</t>
  </si>
  <si>
    <t>output/yada-tl2-4-0-a15_i_.out</t>
  </si>
  <si>
    <t>output/yada-tl2-8-0-a15_i_.out</t>
  </si>
  <si>
    <t>output/bayes-hytm1-1-0-v32_r4096_n10_p40_i2_e8_s1_t.out</t>
  </si>
  <si>
    <t>output/bayes-hytm1-2-0-v32_r4096_n10_p40_i2_e8_s1_t.out</t>
  </si>
  <si>
    <t>output/bayes-hytm1-4-0-v32_r4096_n10_p40_i2_e8_s1_t.out</t>
  </si>
  <si>
    <t>output/bayes-hytm1-8-0-v32_r4096_n10_p40_i2_e8_s1_t.out</t>
  </si>
  <si>
    <t>output/genome-hytm1-1-0-g16384_s64_n16777216_t.out</t>
  </si>
  <si>
    <t>output/genome-hytm1-2-0-g16384_s64_n16777216_t.out</t>
  </si>
  <si>
    <t>output/genome-hytm1-4-0-g16384_s64_n16777216_t.out</t>
  </si>
  <si>
    <t>output/genome-hytm1-8-0-g16384_s64_n16777216_t.out</t>
  </si>
  <si>
    <t>output/intruder-hytm1-1-0-a10_l128_n262144_s1_t.out</t>
  </si>
  <si>
    <t>output/intruder-hytm1-2-0-a10_l128_n262144_s1_t.out</t>
  </si>
  <si>
    <t>output/intruder-hytm1-4-0-a10_l128_n262144_s1_t.out</t>
  </si>
  <si>
    <t>output/intruder-hytm1-8-0-a10_l128_n262144_s1_t.out</t>
  </si>
  <si>
    <t>output/kmeans-hytm1-1-0-m40_n40_t0.out</t>
  </si>
  <si>
    <t>output/kmeans-hytm1-2-0-m40_n40_t0.out</t>
  </si>
  <si>
    <t>output/kmeans-hytm1-4-0-m40_n40_t0.out</t>
  </si>
  <si>
    <t>output/kmeans-hytm1-8-0-m40_n40_t0.out</t>
  </si>
  <si>
    <t>output/kmeans-hytm1-1-0-m15_n15_t0.out</t>
  </si>
  <si>
    <t>output/kmeans-hytm1-2-0-m15_n15_t0.out</t>
  </si>
  <si>
    <t>output/kmeans-hytm1-4-0-m15_n15_t0.out</t>
  </si>
  <si>
    <t>output/kmeans-hytm1-8-0-m15_n15_t0.out</t>
  </si>
  <si>
    <t>output/labyrinth-hytm1-1-0-i_.out</t>
  </si>
  <si>
    <t>output/labyrinth-hytm1-2-0-i_.out</t>
  </si>
  <si>
    <t>output/labyrinth-hytm1-4-0-i_.out</t>
  </si>
  <si>
    <t>output/labyrinth-hytm1-8-0-i_.out</t>
  </si>
  <si>
    <t>output/ssca2-hytm1-1-0-s20_i1.out</t>
  </si>
  <si>
    <t>output/ssca2-hytm1-2-0-s20_i1.out</t>
  </si>
  <si>
    <t>output/ssca2-hytm1-4-0-s20_i1.out</t>
  </si>
  <si>
    <t>output/ssca2-hytm1-8-0-s20_i1.out</t>
  </si>
  <si>
    <t>output/vacation-hytm1-1-0-n2_q90_u98_r1048576_t4194304_c.out</t>
  </si>
  <si>
    <t>output/vacation-hytm1-2-0-n2_q90_u98_r1048576_t4194304_c.out</t>
  </si>
  <si>
    <t>output/vacation-hytm1-4-0-n2_q90_u98_r1048576_t4194304_c.out</t>
  </si>
  <si>
    <t>output/vacation-hytm1-8-0-n2_q90_u98_r1048576_t4194304_c.out</t>
  </si>
  <si>
    <t>output/vacation-hytm1-1-0-n4_q60_u90_r1048576_t4194304_c.out</t>
  </si>
  <si>
    <t>output/vacation-hytm1-2-0-n4_q60_u90_r1048576_t4194304_c.out</t>
  </si>
  <si>
    <t>output/vacation-hytm1-4-0-n4_q60_u90_r1048576_t4194304_c.out</t>
  </si>
  <si>
    <t>output/vacation-hytm1-8-0-n4_q60_u90_r1048576_t4194304_c.out</t>
  </si>
  <si>
    <t>output/yada-hytm1-1-0-a15_i_.out</t>
  </si>
  <si>
    <t>output/yada-hytm1-2-0-a15_i_.out</t>
  </si>
  <si>
    <t>output/yada-hytm1-4-0-a15_i_.out</t>
  </si>
  <si>
    <t>output/yada-hytm1-8-0-a15_i_.out</t>
  </si>
  <si>
    <t>output/bayes-hytm2-1-0-v32_r4096_n10_p40_i2_e8_s1_t.out</t>
  </si>
  <si>
    <t>output/bayes-hytm2-2-0-v32_r4096_n10_p40_i2_e8_s1_t.out</t>
  </si>
  <si>
    <t>output/bayes-hytm2-4-0-v32_r4096_n10_p40_i2_e8_s1_t.out</t>
  </si>
  <si>
    <t>output/bayes-hytm2-8-0-v32_r4096_n10_p40_i2_e8_s1_t.out</t>
  </si>
  <si>
    <t>output/genome-hytm2-1-0-g16384_s64_n16777216_t.out</t>
  </si>
  <si>
    <t>output/genome-hytm2-2-0-g16384_s64_n16777216_t.out</t>
  </si>
  <si>
    <t>output/genome-hytm2-4-0-g16384_s64_n16777216_t.out</t>
  </si>
  <si>
    <t>output/genome-hytm2-8-0-g16384_s64_n16777216_t.out</t>
  </si>
  <si>
    <t>output/intruder-hytm2-1-0-a10_l128_n262144_s1_t.out</t>
  </si>
  <si>
    <t>output/intruder-hytm2-2-0-a10_l128_n262144_s1_t.out</t>
  </si>
  <si>
    <t>output/intruder-hytm2-4-0-a10_l128_n262144_s1_t.out</t>
  </si>
  <si>
    <t>output/intruder-hytm2-8-0-a10_l128_n262144_s1_t.out</t>
  </si>
  <si>
    <t>output/kmeans-hytm2-1-0-m40_n40_t0.out</t>
  </si>
  <si>
    <t>output/kmeans-hytm2-2-0-m40_n40_t0.out</t>
  </si>
  <si>
    <t>output/kmeans-hytm2-4-0-m40_n40_t0.out</t>
  </si>
  <si>
    <t>output/kmeans-hytm2-8-0-m40_n40_t0.out</t>
  </si>
  <si>
    <t>output/kmeans-hytm2-1-0-m15_n15_t0.out</t>
  </si>
  <si>
    <t>output/kmeans-hytm2-2-0-m15_n15_t0.out</t>
  </si>
  <si>
    <t>output/kmeans-hytm2-4-0-m15_n15_t0.out</t>
  </si>
  <si>
    <t>output/kmeans-hytm2-8-0-m15_n15_t0.out</t>
  </si>
  <si>
    <t>output/labyrinth-hytm2-1-0-i_.out</t>
  </si>
  <si>
    <t>output/labyrinth-hytm2-2-0-i_.out</t>
  </si>
  <si>
    <t>output/labyrinth-hytm2-4-0-i_.out</t>
  </si>
  <si>
    <t>output/labyrinth-hytm2-8-0-i_.out</t>
  </si>
  <si>
    <t>output/ssca2-hytm2-1-0-s20_i1.out</t>
  </si>
  <si>
    <t>output/ssca2-hytm2-2-0-s20_i1.out</t>
  </si>
  <si>
    <t>output/ssca2-hytm2-4-0-s20_i1.out</t>
  </si>
  <si>
    <t>output/ssca2-hytm2-8-0-s20_i1.out</t>
  </si>
  <si>
    <t>output/vacation-hytm2-1-0-n2_q90_u98_r1048576_t4194304_c.out</t>
  </si>
  <si>
    <t>output/vacation-hytm2-2-0-n2_q90_u98_r1048576_t4194304_c.out</t>
  </si>
  <si>
    <t>output/vacation-hytm2-4-0-n2_q90_u98_r1048576_t4194304_c.out</t>
  </si>
  <si>
    <t>output/vacation-hytm2-8-0-n2_q90_u98_r1048576_t4194304_c.out</t>
  </si>
  <si>
    <t>output/vacation-hytm2-1-0-n4_q60_u90_r1048576_t4194304_c.out</t>
  </si>
  <si>
    <t>output/vacation-hytm2-2-0-n4_q60_u90_r1048576_t4194304_c.out</t>
  </si>
  <si>
    <t>output/vacation-hytm2-4-0-n4_q60_u90_r1048576_t4194304_c.out</t>
  </si>
  <si>
    <t>output/vacation-hytm2-8-0-n4_q60_u90_r1048576_t4194304_c.out</t>
  </si>
  <si>
    <t>output/yada-hytm2-1-0-a15_i_.out</t>
  </si>
  <si>
    <t>output/yada-hytm2-2-0-a15_i_.out</t>
  </si>
  <si>
    <t>output/yada-hytm2-4-0-a15_i_.out</t>
  </si>
  <si>
    <t>output/yada-hytm2-8-0-a15_i_.out</t>
  </si>
  <si>
    <t>hytm2sw</t>
  </si>
  <si>
    <t>output/bayes-hytm2sw-1-0-v32_r4096_n10_p40_i2_e8_s1_t.out</t>
  </si>
  <si>
    <t>output/bayes-hytm2sw-2-0-v32_r4096_n10_p40_i2_e8_s1_t.out</t>
  </si>
  <si>
    <t>output/bayes-hytm2sw-4-0-v32_r4096_n10_p40_i2_e8_s1_t.out</t>
  </si>
  <si>
    <t>output/bayes-hytm2sw-8-0-v32_r4096_n10_p40_i2_e8_s1_t.out</t>
  </si>
  <si>
    <t>output/genome-hytm2sw-1-0-g16384_s64_n16777216_t.out</t>
  </si>
  <si>
    <t>output/genome-hytm2sw-2-0-g16384_s64_n16777216_t.out</t>
  </si>
  <si>
    <t>output/genome-hytm2sw-4-0-g16384_s64_n16777216_t.out</t>
  </si>
  <si>
    <t>output/genome-hytm2sw-8-0-g16384_s64_n16777216_t.out</t>
  </si>
  <si>
    <t>output/intruder-hytm2sw-1-0-a10_l128_n262144_s1_t.out</t>
  </si>
  <si>
    <t>output/intruder-hytm2sw-2-0-a10_l128_n262144_s1_t.out</t>
  </si>
  <si>
    <t>output/intruder-hytm2sw-4-0-a10_l128_n262144_s1_t.out</t>
  </si>
  <si>
    <t>output/intruder-hytm2sw-8-0-a10_l128_n262144_s1_t.out</t>
  </si>
  <si>
    <t>output/kmeans-hytm2sw-1-0-m40_n40_t0.out</t>
  </si>
  <si>
    <t>output/kmeans-hytm2sw-2-0-m40_n40_t0.out</t>
  </si>
  <si>
    <t>output/kmeans-hytm2sw-4-0-m40_n40_t0.out</t>
  </si>
  <si>
    <t>output/kmeans-hytm2sw-8-0-m40_n40_t0.out</t>
  </si>
  <si>
    <t>output/kmeans-hytm2sw-1-0-m15_n15_t0.out</t>
  </si>
  <si>
    <t>output/kmeans-hytm2sw-2-0-m15_n15_t0.out</t>
  </si>
  <si>
    <t>output/kmeans-hytm2sw-4-0-m15_n15_t0.out</t>
  </si>
  <si>
    <t>output/kmeans-hytm2sw-8-0-m15_n15_t0.out</t>
  </si>
  <si>
    <t>output/labyrinth-hytm2sw-1-0-i_.out</t>
  </si>
  <si>
    <t>output/labyrinth-hytm2sw-2-0-i_.out</t>
  </si>
  <si>
    <t>output/labyrinth-hytm2sw-4-0-i_.out</t>
  </si>
  <si>
    <t>output/labyrinth-hytm2sw-8-0-i_.out</t>
  </si>
  <si>
    <t>output/ssca2-hytm2sw-1-0-s20_i1.out</t>
  </si>
  <si>
    <t>output/ssca2-hytm2sw-2-0-s20_i1.out</t>
  </si>
  <si>
    <t>output/ssca2-hytm2sw-4-0-s20_i1.out</t>
  </si>
  <si>
    <t>output/ssca2-hytm2sw-8-0-s20_i1.out</t>
  </si>
  <si>
    <t>output/vacation-hytm2sw-1-0-n2_q90_u98_r1048576_t4194304_c.out</t>
  </si>
  <si>
    <t>output/vacation-hytm2sw-2-0-n2_q90_u98_r1048576_t4194304_c.out</t>
  </si>
  <si>
    <t>output/vacation-hytm2sw-4-0-n2_q90_u98_r1048576_t4194304_c.out</t>
  </si>
  <si>
    <t>output/vacation-hytm2sw-8-0-n2_q90_u98_r1048576_t4194304_c.out</t>
  </si>
  <si>
    <t>output/vacation-hytm2sw-1-0-n4_q60_u90_r1048576_t4194304_c.out</t>
  </si>
  <si>
    <t>output/vacation-hytm2sw-2-0-n4_q60_u90_r1048576_t4194304_c.out</t>
  </si>
  <si>
    <t>output/vacation-hytm2sw-4-0-n4_q60_u90_r1048576_t4194304_c.out</t>
  </si>
  <si>
    <t>output/vacation-hytm2sw-8-0-n4_q60_u90_r1048576_t4194304_c.out</t>
  </si>
  <si>
    <t>output/yada-hytm2sw-1-0-a15_i_.out</t>
  </si>
  <si>
    <t>output/yada-hytm2sw-2-0-a15_i_.out</t>
  </si>
  <si>
    <t>output/yada-hytm2sw-4-0-a15_i_.out</t>
  </si>
  <si>
    <t>output/yada-hytm2sw-8-0-a15_i_.out</t>
  </si>
  <si>
    <t>output/bayes-tl2-1-1-v32_r4096_n10_p40_i2_e8_s1_t.out</t>
  </si>
  <si>
    <t>output/bayes-tl2-2-1-v32_r4096_n10_p40_i2_e8_s1_t.out</t>
  </si>
  <si>
    <t>output/bayes-tl2-4-1-v32_r4096_n10_p40_i2_e8_s1_t.out</t>
  </si>
  <si>
    <t>output/bayes-tl2-8-1-v32_r4096_n10_p40_i2_e8_s1_t.out</t>
  </si>
  <si>
    <t>output/genome-tl2-1-1-g16384_s64_n16777216_t.out</t>
  </si>
  <si>
    <t>output/genome-tl2-2-1-g16384_s64_n16777216_t.out</t>
  </si>
  <si>
    <t>output/genome-tl2-4-1-g16384_s64_n16777216_t.out</t>
  </si>
  <si>
    <t>output/genome-tl2-8-1-g16384_s64_n16777216_t.out</t>
  </si>
  <si>
    <t>output/intruder-tl2-1-1-a10_l128_n262144_s1_t.out</t>
  </si>
  <si>
    <t>output/intruder-tl2-2-1-a10_l128_n262144_s1_t.out</t>
  </si>
  <si>
    <t>output/intruder-tl2-4-1-a10_l128_n262144_s1_t.out</t>
  </si>
  <si>
    <t>output/intruder-tl2-8-1-a10_l128_n262144_s1_t.out</t>
  </si>
  <si>
    <t>output/kmeans-tl2-1-1-m40_n40_t0.out</t>
  </si>
  <si>
    <t>output/kmeans-tl2-2-1-m40_n40_t0.out</t>
  </si>
  <si>
    <t>output/kmeans-tl2-4-1-m40_n40_t0.out</t>
  </si>
  <si>
    <t>output/kmeans-tl2-8-1-m40_n40_t0.out</t>
  </si>
  <si>
    <t>output/kmeans-tl2-1-1-m15_n15_t0.out</t>
  </si>
  <si>
    <t>output/kmeans-tl2-2-1-m15_n15_t0.out</t>
  </si>
  <si>
    <t>output/kmeans-tl2-4-1-m15_n15_t0.out</t>
  </si>
  <si>
    <t>output/kmeans-tl2-8-1-m15_n15_t0.out</t>
  </si>
  <si>
    <t>output/labyrinth-tl2-1-1-i_.out</t>
  </si>
  <si>
    <t>output/labyrinth-tl2-2-1-i_.out</t>
  </si>
  <si>
    <t>output/labyrinth-tl2-4-1-i_.out</t>
  </si>
  <si>
    <t>output/labyrinth-tl2-8-1-i_.out</t>
  </si>
  <si>
    <t>output/ssca2-tl2-1-1-s20_i1.out</t>
  </si>
  <si>
    <t>output/ssca2-tl2-2-1-s20_i1.out</t>
  </si>
  <si>
    <t>output/ssca2-tl2-4-1-s20_i1.out</t>
  </si>
  <si>
    <t>output/ssca2-tl2-8-1-s20_i1.out</t>
  </si>
  <si>
    <t>output/vacation-tl2-1-1-n2_q90_u98_r1048576_t4194304_c.out</t>
  </si>
  <si>
    <t>output/vacation-tl2-2-1-n2_q90_u98_r1048576_t4194304_c.out</t>
  </si>
  <si>
    <t>output/vacation-tl2-4-1-n2_q90_u98_r1048576_t4194304_c.out</t>
  </si>
  <si>
    <t>output/vacation-tl2-8-1-n2_q90_u98_r1048576_t4194304_c.out</t>
  </si>
  <si>
    <t>output/vacation-tl2-1-1-n4_q60_u90_r1048576_t4194304_c.out</t>
  </si>
  <si>
    <t>output/vacation-tl2-2-1-n4_q60_u90_r1048576_t4194304_c.out</t>
  </si>
  <si>
    <t>output/vacation-tl2-4-1-n4_q60_u90_r1048576_t4194304_c.out</t>
  </si>
  <si>
    <t>output/vacation-tl2-8-1-n4_q60_u90_r1048576_t4194304_c.out</t>
  </si>
  <si>
    <t>output/yada-tl2-1-1-a15_i_.out</t>
  </si>
  <si>
    <t>output/yada-tl2-2-1-a15_i_.out</t>
  </si>
  <si>
    <t>output/yada-tl2-4-1-a15_i_.out</t>
  </si>
  <si>
    <t>output/yada-tl2-8-1-a15_i_.out</t>
  </si>
  <si>
    <t>output/bayes-hytm1-1-1-v32_r4096_n10_p40_i2_e8_s1_t.out</t>
  </si>
  <si>
    <t>output/bayes-hytm1-2-1-v32_r4096_n10_p40_i2_e8_s1_t.out</t>
  </si>
  <si>
    <t>output/bayes-hytm1-4-1-v32_r4096_n10_p40_i2_e8_s1_t.out</t>
  </si>
  <si>
    <t>output/bayes-hytm1-8-1-v32_r4096_n10_p40_i2_e8_s1_t.out</t>
  </si>
  <si>
    <t>output/genome-hytm1-1-1-g16384_s64_n16777216_t.out</t>
  </si>
  <si>
    <t>output/genome-hytm1-2-1-g16384_s64_n16777216_t.out</t>
  </si>
  <si>
    <t>output/genome-hytm1-4-1-g16384_s64_n16777216_t.out</t>
  </si>
  <si>
    <t>output/genome-hytm1-8-1-g16384_s64_n16777216_t.out</t>
  </si>
  <si>
    <t>output/intruder-hytm1-1-1-a10_l128_n262144_s1_t.out</t>
  </si>
  <si>
    <t>output/intruder-hytm1-2-1-a10_l128_n262144_s1_t.out</t>
  </si>
  <si>
    <t>output/intruder-hytm1-4-1-a10_l128_n262144_s1_t.out</t>
  </si>
  <si>
    <t>output/intruder-hytm1-8-1-a10_l128_n262144_s1_t.out</t>
  </si>
  <si>
    <t>output/kmeans-hytm1-1-1-m40_n40_t0.out</t>
  </si>
  <si>
    <t>output/kmeans-hytm1-2-1-m40_n40_t0.out</t>
  </si>
  <si>
    <t>output/kmeans-hytm1-4-1-m40_n40_t0.out</t>
  </si>
  <si>
    <t>output/kmeans-hytm1-8-1-m40_n40_t0.out</t>
  </si>
  <si>
    <t>output/kmeans-hytm1-1-1-m15_n15_t0.out</t>
  </si>
  <si>
    <t>output/kmeans-hytm1-2-1-m15_n15_t0.out</t>
  </si>
  <si>
    <t>output/kmeans-hytm1-4-1-m15_n15_t0.out</t>
  </si>
  <si>
    <t>output/kmeans-hytm1-8-1-m15_n15_t0.out</t>
  </si>
  <si>
    <t>output/labyrinth-hytm1-1-1-i_.out</t>
  </si>
  <si>
    <t>output/labyrinth-hytm1-2-1-i_.out</t>
  </si>
  <si>
    <t>output/labyrinth-hytm1-4-1-i_.out</t>
  </si>
  <si>
    <t>output/labyrinth-hytm1-8-1-i_.out</t>
  </si>
  <si>
    <t>output/ssca2-hytm1-1-1-s20_i1.out</t>
  </si>
  <si>
    <t>output/ssca2-hytm1-2-1-s20_i1.out</t>
  </si>
  <si>
    <t>output/ssca2-hytm1-4-1-s20_i1.out</t>
  </si>
  <si>
    <t>output/ssca2-hytm1-8-1-s20_i1.out</t>
  </si>
  <si>
    <t>output/vacation-hytm1-1-1-n2_q90_u98_r1048576_t4194304_c.out</t>
  </si>
  <si>
    <t>output/vacation-hytm1-2-1-n2_q90_u98_r1048576_t4194304_c.out</t>
  </si>
  <si>
    <t>output/vacation-hytm1-4-1-n2_q90_u98_r1048576_t4194304_c.out</t>
  </si>
  <si>
    <t>output/vacation-hytm1-8-1-n2_q90_u98_r1048576_t4194304_c.out</t>
  </si>
  <si>
    <t>output/vacation-hytm1-1-1-n4_q60_u90_r1048576_t4194304_c.out</t>
  </si>
  <si>
    <t>output/vacation-hytm1-2-1-n4_q60_u90_r1048576_t4194304_c.out</t>
  </si>
  <si>
    <t>output/vacation-hytm1-4-1-n4_q60_u90_r1048576_t4194304_c.out</t>
  </si>
  <si>
    <t>output/vacation-hytm1-8-1-n4_q60_u90_r1048576_t4194304_c.out</t>
  </si>
  <si>
    <t>output/yada-hytm1-1-1-a15_i_.out</t>
  </si>
  <si>
    <t>output/yada-hytm1-2-1-a15_i_.out</t>
  </si>
  <si>
    <t>output/yada-hytm1-4-1-a15_i_.out</t>
  </si>
  <si>
    <t>output/yada-hytm1-8-1-a15_i_.out</t>
  </si>
  <si>
    <t>output/bayes-hytm2-1-1-v32_r4096_n10_p40_i2_e8_s1_t.out</t>
  </si>
  <si>
    <t>output/bayes-hytm2-2-1-v32_r4096_n10_p40_i2_e8_s1_t.out</t>
  </si>
  <si>
    <t>output/bayes-hytm2-4-1-v32_r4096_n10_p40_i2_e8_s1_t.out</t>
  </si>
  <si>
    <t>output/bayes-hytm2-8-1-v32_r4096_n10_p40_i2_e8_s1_t.out</t>
  </si>
  <si>
    <t>output/genome-hytm2-1-1-g16384_s64_n16777216_t.out</t>
  </si>
  <si>
    <t>output/genome-hytm2-2-1-g16384_s64_n16777216_t.out</t>
  </si>
  <si>
    <t>output/genome-hytm2-4-1-g16384_s64_n16777216_t.out</t>
  </si>
  <si>
    <t>output/genome-hytm2-8-1-g16384_s64_n16777216_t.out</t>
  </si>
  <si>
    <t>output/intruder-hytm2-1-1-a10_l128_n262144_s1_t.out</t>
  </si>
  <si>
    <t>output/intruder-hytm2-2-1-a10_l128_n262144_s1_t.out</t>
  </si>
  <si>
    <t>output/intruder-hytm2-4-1-a10_l128_n262144_s1_t.out</t>
  </si>
  <si>
    <t>output/intruder-hytm2-8-1-a10_l128_n262144_s1_t.out</t>
  </si>
  <si>
    <t>output/kmeans-hytm2-1-1-m40_n40_t0.out</t>
  </si>
  <si>
    <t>output/kmeans-hytm2-2-1-m40_n40_t0.out</t>
  </si>
  <si>
    <t>output/kmeans-hytm2-4-1-m40_n40_t0.out</t>
  </si>
  <si>
    <t>output/kmeans-hytm2-8-1-m40_n40_t0.out</t>
  </si>
  <si>
    <t>output/kmeans-hytm2-1-1-m15_n15_t0.out</t>
  </si>
  <si>
    <t>output/kmeans-hytm2-2-1-m15_n15_t0.out</t>
  </si>
  <si>
    <t>output/kmeans-hytm2-4-1-m15_n15_t0.out</t>
  </si>
  <si>
    <t>output/kmeans-hytm2-8-1-m15_n15_t0.out</t>
  </si>
  <si>
    <t>output/labyrinth-hytm2-1-1-i_.out</t>
  </si>
  <si>
    <t>output/labyrinth-hytm2-2-1-i_.out</t>
  </si>
  <si>
    <t>output/labyrinth-hytm2-4-1-i_.out</t>
  </si>
  <si>
    <t>output/labyrinth-hytm2-8-1-i_.out</t>
  </si>
  <si>
    <t>output/ssca2-hytm2-1-1-s20_i1.out</t>
  </si>
  <si>
    <t>output/ssca2-hytm2-2-1-s20_i1.out</t>
  </si>
  <si>
    <t>output/ssca2-hytm2-4-1-s20_i1.out</t>
  </si>
  <si>
    <t>output/ssca2-hytm2-8-1-s20_i1.out</t>
  </si>
  <si>
    <t>output/vacation-hytm2-1-1-n2_q90_u98_r1048576_t4194304_c.out</t>
  </si>
  <si>
    <t>output/vacation-hytm2-2-1-n2_q90_u98_r1048576_t4194304_c.out</t>
  </si>
  <si>
    <t>output/vacation-hytm2-4-1-n2_q90_u98_r1048576_t4194304_c.out</t>
  </si>
  <si>
    <t>output/vacation-hytm2-8-1-n2_q90_u98_r1048576_t4194304_c.out</t>
  </si>
  <si>
    <t>output/vacation-hytm2-1-1-n4_q60_u90_r1048576_t4194304_c.out</t>
  </si>
  <si>
    <t>output/vacation-hytm2-2-1-n4_q60_u90_r1048576_t4194304_c.out</t>
  </si>
  <si>
    <t>output/vacation-hytm2-4-1-n4_q60_u90_r1048576_t4194304_c.out</t>
  </si>
  <si>
    <t>output/vacation-hytm2-8-1-n4_q60_u90_r1048576_t4194304_c.out</t>
  </si>
  <si>
    <t>output/yada-hytm2-1-1-a15_i_.out</t>
  </si>
  <si>
    <t>output/yada-hytm2-2-1-a15_i_.out</t>
  </si>
  <si>
    <t>output/yada-hytm2-4-1-a15_i_.out</t>
  </si>
  <si>
    <t>output/yada-hytm2-8-1-a15_i_.out</t>
  </si>
  <si>
    <t>output/bayes-hytm2sw-1-1-v32_r4096_n10_p40_i2_e8_s1_t.out</t>
  </si>
  <si>
    <t>output/bayes-hytm2sw-2-1-v32_r4096_n10_p40_i2_e8_s1_t.out</t>
  </si>
  <si>
    <t>output/bayes-hytm2sw-4-1-v32_r4096_n10_p40_i2_e8_s1_t.out</t>
  </si>
  <si>
    <t>output/bayes-hytm2sw-8-1-v32_r4096_n10_p40_i2_e8_s1_t.out</t>
  </si>
  <si>
    <t>output/genome-hytm2sw-1-1-g16384_s64_n16777216_t.out</t>
  </si>
  <si>
    <t>output/genome-hytm2sw-2-1-g16384_s64_n16777216_t.out</t>
  </si>
  <si>
    <t>output/genome-hytm2sw-4-1-g16384_s64_n16777216_t.out</t>
  </si>
  <si>
    <t>output/genome-hytm2sw-8-1-g16384_s64_n16777216_t.out</t>
  </si>
  <si>
    <t>output/intruder-hytm2sw-1-1-a10_l128_n262144_s1_t.out</t>
  </si>
  <si>
    <t>output/intruder-hytm2sw-2-1-a10_l128_n262144_s1_t.out</t>
  </si>
  <si>
    <t>output/intruder-hytm2sw-4-1-a10_l128_n262144_s1_t.out</t>
  </si>
  <si>
    <t>output/intruder-hytm2sw-8-1-a10_l128_n262144_s1_t.out</t>
  </si>
  <si>
    <t>output/kmeans-hytm2sw-1-1-m40_n40_t0.out</t>
  </si>
  <si>
    <t>output/kmeans-hytm2sw-2-1-m40_n40_t0.out</t>
  </si>
  <si>
    <t>output/kmeans-hytm2sw-4-1-m40_n40_t0.out</t>
  </si>
  <si>
    <t>output/kmeans-hytm2sw-8-1-m40_n40_t0.out</t>
  </si>
  <si>
    <t>output/kmeans-hytm2sw-1-1-m15_n15_t0.out</t>
  </si>
  <si>
    <t>output/kmeans-hytm2sw-2-1-m15_n15_t0.out</t>
  </si>
  <si>
    <t>output/kmeans-hytm2sw-4-1-m15_n15_t0.out</t>
  </si>
  <si>
    <t>output/kmeans-hytm2sw-8-1-m15_n15_t0.out</t>
  </si>
  <si>
    <t>output/labyrinth-hytm2sw-1-1-i_.out</t>
  </si>
  <si>
    <t>output/labyrinth-hytm2sw-2-1-i_.out</t>
  </si>
  <si>
    <t>output/labyrinth-hytm2sw-4-1-i_.out</t>
  </si>
  <si>
    <t>output/labyrinth-hytm2sw-8-1-i_.out</t>
  </si>
  <si>
    <t>output/ssca2-hytm2sw-1-1-s20_i1.out</t>
  </si>
  <si>
    <t>output/ssca2-hytm2sw-2-1-s20_i1.out</t>
  </si>
  <si>
    <t>output/ssca2-hytm2sw-4-1-s20_i1.out</t>
  </si>
  <si>
    <t>output/ssca2-hytm2sw-8-1-s20_i1.out</t>
  </si>
  <si>
    <t>output/vacation-hytm2sw-1-1-n2_q90_u98_r1048576_t4194304_c.out</t>
  </si>
  <si>
    <t>output/vacation-hytm2sw-2-1-n2_q90_u98_r1048576_t4194304_c.out</t>
  </si>
  <si>
    <t>output/vacation-hytm2sw-4-1-n2_q90_u98_r1048576_t4194304_c.out</t>
  </si>
  <si>
    <t>output/vacation-hytm2sw-8-1-n2_q90_u98_r1048576_t4194304_c.out</t>
  </si>
  <si>
    <t>output/vacation-hytm2sw-1-1-n4_q60_u90_r1048576_t4194304_c.out</t>
  </si>
  <si>
    <t>output/vacation-hytm2sw-2-1-n4_q60_u90_r1048576_t4194304_c.out</t>
  </si>
  <si>
    <t>output/vacation-hytm2sw-4-1-n4_q60_u90_r1048576_t4194304_c.out</t>
  </si>
  <si>
    <t>output/vacation-hytm2sw-8-1-n4_q60_u90_r1048576_t4194304_c.out</t>
  </si>
  <si>
    <t>output/yada-hytm2sw-1-1-a15_i_.out</t>
  </si>
  <si>
    <t>output/yada-hytm2sw-2-1-a15_i_.out</t>
  </si>
  <si>
    <t>output/yada-hytm2sw-4-1-a15_i_.out</t>
  </si>
  <si>
    <t>output/yada-hytm2sw-8-1-a15_i_.out</t>
  </si>
  <si>
    <t>params</t>
  </si>
  <si>
    <t>expname</t>
  </si>
  <si>
    <t>ssca2 s20_i1</t>
  </si>
  <si>
    <t>renamedalg</t>
  </si>
  <si>
    <t>TLE</t>
  </si>
  <si>
    <t>Alg1</t>
  </si>
  <si>
    <t>Alg1 s/w</t>
  </si>
  <si>
    <t>TL2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</si>
</sst>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2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[theoryhtm1.xlsm]kmeans!PivotTable1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kmeans!$G$1:$G$2</c:f>
              <c:strCache>
                <c:ptCount val="1"/>
                <c:pt idx="0">
                  <c:v>hytm2</c:v>
                </c:pt>
              </c:strCache>
            </c:strRef>
          </c:tx>
          <c:cat>
            <c:strRef>
              <c:f>kmeans!$F$3:$F$6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strCache>
            </c:strRef>
          </c:cat>
          <c:val>
            <c:numRef>
              <c:f>kmeans!$G$3:$G$6</c:f>
              <c:numCache>
                <c:formatCode>General</c:formatCode>
                <c:ptCount val="4"/>
                <c:pt idx="0">
                  <c:v>8.1349659999999986</c:v>
                </c:pt>
                <c:pt idx="1">
                  <c:v>5.4666229999999993</c:v>
                </c:pt>
                <c:pt idx="2">
                  <c:v>4.4140819999999987</c:v>
                </c:pt>
                <c:pt idx="3">
                  <c:v>3.6689239999999996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kmeans!$H$1:$H$2</c:f>
              <c:strCache>
                <c:ptCount val="1"/>
                <c:pt idx="0">
                  <c:v>tl2</c:v>
                </c:pt>
              </c:strCache>
            </c:strRef>
          </c:tx>
          <c:cat>
            <c:strRef>
              <c:f>kmeans!$F$3:$F$6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strCache>
            </c:strRef>
          </c:cat>
          <c:val>
            <c:numRef>
              <c:f>kmeans!$H$3:$H$6</c:f>
              <c:numCache>
                <c:formatCode>General</c:formatCode>
                <c:ptCount val="4"/>
                <c:pt idx="0">
                  <c:v>14.810580000000002</c:v>
                </c:pt>
                <c:pt idx="1">
                  <c:v>8.1410710000000002</c:v>
                </c:pt>
                <c:pt idx="2">
                  <c:v>4.8539199999999996</c:v>
                </c:pt>
                <c:pt idx="3">
                  <c:v>3.495644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kmeans!$I$1:$I$2</c:f>
              <c:strCache>
                <c:ptCount val="1"/>
                <c:pt idx="0">
                  <c:v>hytm1</c:v>
                </c:pt>
              </c:strCache>
            </c:strRef>
          </c:tx>
          <c:cat>
            <c:strRef>
              <c:f>kmeans!$F$3:$F$6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strCache>
            </c:strRef>
          </c:cat>
          <c:val>
            <c:numRef>
              <c:f>kmeans!$I$3:$I$6</c:f>
              <c:numCache>
                <c:formatCode>General</c:formatCode>
                <c:ptCount val="4"/>
                <c:pt idx="0">
                  <c:v>7.2887680000000001</c:v>
                </c:pt>
                <c:pt idx="1">
                  <c:v>4.2984880000000008</c:v>
                </c:pt>
                <c:pt idx="2">
                  <c:v>3.029182</c:v>
                </c:pt>
                <c:pt idx="3">
                  <c:v>5.9866919999999997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62976"/>
        <c:axId val="49836800"/>
      </c:lineChart>
      <c:catAx>
        <c:axId val="49662976"/>
        <c:scaling>
          <c:orientation val="minMax"/>
        </c:scaling>
        <c:delete val="0"/>
        <c:axPos val="b"/>
        <c:majorTickMark val="out"/>
        <c:minorTickMark val="none"/>
        <c:tickLblPos val="nextTo"/>
        <c:crossAx val="49836800"/>
        <c:crosses val="autoZero"/>
        <c:auto val="1"/>
        <c:lblAlgn val="ctr"/>
        <c:lblOffset val="100"/>
        <c:noMultiLvlLbl val="0"/>
      </c:catAx>
      <c:valAx>
        <c:axId val="4983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96629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[theoryhtm1.xlsm]all!PivotTable2</c:name>
    <c:fmtId val="0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all!$N$3:$N$4</c:f>
              <c:strCache>
                <c:ptCount val="1"/>
                <c:pt idx="0">
                  <c:v>Alg1</c:v>
                </c:pt>
              </c:strCache>
            </c:strRef>
          </c:tx>
          <c:cat>
            <c:strRef>
              <c:f>all!$M$5:$M$8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strCache>
            </c:strRef>
          </c:cat>
          <c:val>
            <c:numRef>
              <c:f>all!$N$5:$N$8</c:f>
              <c:numCache>
                <c:formatCode>General</c:formatCode>
                <c:ptCount val="4"/>
                <c:pt idx="0">
                  <c:v>12.1915675</c:v>
                </c:pt>
                <c:pt idx="1">
                  <c:v>14.4236305</c:v>
                </c:pt>
                <c:pt idx="2">
                  <c:v>13.847765500000001</c:v>
                </c:pt>
                <c:pt idx="3">
                  <c:v>13.367066999999999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all!$O$3:$O$4</c:f>
              <c:strCache>
                <c:ptCount val="1"/>
                <c:pt idx="0">
                  <c:v>Alg1 s/w</c:v>
                </c:pt>
              </c:strCache>
            </c:strRef>
          </c:tx>
          <c:cat>
            <c:strRef>
              <c:f>all!$M$5:$M$8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strCache>
            </c:strRef>
          </c:cat>
          <c:val>
            <c:numRef>
              <c:f>all!$O$5:$O$8</c:f>
              <c:numCache>
                <c:formatCode>General</c:formatCode>
                <c:ptCount val="4"/>
                <c:pt idx="0">
                  <c:v>12.2788795</c:v>
                </c:pt>
                <c:pt idx="1">
                  <c:v>12.537748499999999</c:v>
                </c:pt>
                <c:pt idx="2">
                  <c:v>11.257486</c:v>
                </c:pt>
                <c:pt idx="3">
                  <c:v>10.703139500000001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all!$P$3:$P$4</c:f>
              <c:strCache>
                <c:ptCount val="1"/>
                <c:pt idx="0">
                  <c:v>TL2</c:v>
                </c:pt>
              </c:strCache>
            </c:strRef>
          </c:tx>
          <c:cat>
            <c:strRef>
              <c:f>all!$M$5:$M$8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strCache>
            </c:strRef>
          </c:cat>
          <c:val>
            <c:numRef>
              <c:f>all!$P$5:$P$8</c:f>
              <c:numCache>
                <c:formatCode>General</c:formatCode>
                <c:ptCount val="4"/>
                <c:pt idx="0">
                  <c:v>14.4518635</c:v>
                </c:pt>
                <c:pt idx="1">
                  <c:v>13.452712</c:v>
                </c:pt>
                <c:pt idx="2">
                  <c:v>12.140284000000001</c:v>
                </c:pt>
                <c:pt idx="3">
                  <c:v>11.018017499999999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all!$Q$3:$Q$4</c:f>
              <c:strCache>
                <c:ptCount val="1"/>
                <c:pt idx="0">
                  <c:v>TLE</c:v>
                </c:pt>
              </c:strCache>
            </c:strRef>
          </c:tx>
          <c:cat>
            <c:strRef>
              <c:f>all!$M$5:$M$8</c:f>
              <c:strCache>
                <c:ptCount val="4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</c:strCache>
            </c:strRef>
          </c:cat>
          <c:val>
            <c:numRef>
              <c:f>all!$Q$5:$Q$8</c:f>
              <c:numCache>
                <c:formatCode>General</c:formatCode>
                <c:ptCount val="4"/>
                <c:pt idx="0">
                  <c:v>10.905332</c:v>
                </c:pt>
                <c:pt idx="1">
                  <c:v>11.604476500000001</c:v>
                </c:pt>
                <c:pt idx="2">
                  <c:v>10.694382000000001</c:v>
                </c:pt>
                <c:pt idx="3">
                  <c:v>10.4026725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67328"/>
        <c:axId val="68469120"/>
      </c:lineChart>
      <c:catAx>
        <c:axId val="684673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number of threads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68469120"/>
        <c:crosses val="autoZero"/>
        <c:auto val="1"/>
        <c:lblAlgn val="ctr"/>
        <c:lblOffset val="100"/>
        <c:noMultiLvlLbl val="0"/>
      </c:catAx>
      <c:valAx>
        <c:axId val="6846912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time (seconds)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68467328"/>
        <c:crosses val="autoZero"/>
        <c:crossBetween val="between"/>
      </c:valAx>
    </c:plotArea>
    <c:legend>
      <c:legendPos val="tr"/>
      <c:layout>
        <c:manualLayout>
          <c:xMode val="edge"/>
          <c:yMode val="edge"/>
          <c:x val="0.16146670714623357"/>
          <c:y val="0.33047030507765424"/>
          <c:w val="0.20446034695328594"/>
          <c:h val="0.36102599088276044"/>
        </c:manualLayout>
      </c:layout>
      <c:overlay val="1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2382</xdr:colOff>
      <xdr:row>7</xdr:row>
      <xdr:rowOff>7144</xdr:rowOff>
    </xdr:from>
    <xdr:to>
      <xdr:col>10</xdr:col>
      <xdr:colOff>545307</xdr:colOff>
      <xdr:row>22</xdr:row>
      <xdr:rowOff>35719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140491</xdr:colOff>
      <xdr:row>9</xdr:row>
      <xdr:rowOff>176212</xdr:rowOff>
    </xdr:from>
    <xdr:to>
      <xdr:col>17</xdr:col>
      <xdr:colOff>71435</xdr:colOff>
      <xdr:row>31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revor Brown" refreshedDate="42497.982951157406" createdVersion="4" refreshedVersion="4" minRefreshableVersion="3" recordCount="121">
  <cacheSource type="worksheet">
    <worksheetSource ref="A1:D1048576" sheet="kmeans"/>
  </cacheSource>
  <cacheFields count="4">
    <cacheField name="alg" numFmtId="0">
      <sharedItems containsBlank="1" count="4">
        <s v="tl2"/>
        <s v="hytm2"/>
        <s v="hytm1"/>
        <m/>
      </sharedItems>
    </cacheField>
    <cacheField name="nthreads" numFmtId="0">
      <sharedItems containsString="0" containsBlank="1" containsNumber="1" containsInteger="1" minValue="1" maxValue="8" count="5">
        <n v="1"/>
        <n v="2"/>
        <n v="4"/>
        <n v="8"/>
        <m/>
      </sharedItems>
    </cacheField>
    <cacheField name="trial" numFmtId="0">
      <sharedItems containsString="0" containsBlank="1" containsNumber="1" containsInteger="1" minValue="0" maxValue="9"/>
    </cacheField>
    <cacheField name="time" numFmtId="0">
      <sharedItems containsString="0" containsBlank="1" containsNumber="1" minValue="2.58318" maxValue="14.9052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Trevor Brown" refreshedDate="42498.51034108796" createdVersion="4" refreshedVersion="4" minRefreshableVersion="3" recordCount="384">
  <cacheSource type="worksheet">
    <worksheetSource ref="A1:I1048576" sheet="all"/>
  </cacheSource>
  <cacheFields count="9">
    <cacheField name="benchmark" numFmtId="0">
      <sharedItems containsBlank="1"/>
    </cacheField>
    <cacheField name="alg" numFmtId="0">
      <sharedItems containsBlank="1" count="5">
        <s v="tl2"/>
        <s v="hytm1"/>
        <s v="hytm2"/>
        <s v="hytm2sw"/>
        <m/>
      </sharedItems>
    </cacheField>
    <cacheField name="nthreads" numFmtId="0">
      <sharedItems containsString="0" containsBlank="1" containsNumber="1" containsInteger="1" minValue="1" maxValue="8" count="5">
        <n v="1"/>
        <n v="2"/>
        <n v="4"/>
        <n v="8"/>
        <m/>
      </sharedItems>
    </cacheField>
    <cacheField name="trial" numFmtId="0">
      <sharedItems containsString="0" containsBlank="1" containsNumber="1" containsInteger="1" minValue="0" maxValue="1"/>
    </cacheField>
    <cacheField name="time" numFmtId="0">
      <sharedItems containsString="0" containsBlank="1" containsNumber="1" minValue="1.06328" maxValue="256.05037399999998"/>
    </cacheField>
    <cacheField name="fname" numFmtId="0">
      <sharedItems containsBlank="1"/>
    </cacheField>
    <cacheField name="params" numFmtId="0">
      <sharedItems containsBlank="1"/>
    </cacheField>
    <cacheField name="expname" numFmtId="0">
      <sharedItems containsBlank="1" count="11">
        <s v="bayes v32_r4096_n10_p40_i2_e8_s1_t"/>
        <s v="genome g16384_s64_n16777216_t"/>
        <s v="intruder a10_l128_n262144_s1_t"/>
        <s v="kmeans m40_n40_t0"/>
        <s v="kmeans m15_n15_t0"/>
        <s v="labyrinth i_"/>
        <s v="ssca2 s20_i1"/>
        <s v="vacation n2_q90_u98_r1048576_t4194304_c"/>
        <s v="vacation n4_q60_u90_r1048576_t4194304_c"/>
        <s v="yada a15_i_"/>
        <m/>
      </sharedItems>
    </cacheField>
    <cacheField name="renamedalg" numFmtId="0">
      <sharedItems containsBlank="1" count="5">
        <s v="TL2"/>
        <s v="TLE"/>
        <s v="Alg1"/>
        <s v="Alg1 s/w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1">
  <r>
    <x v="0"/>
    <x v="0"/>
    <n v="0"/>
    <n v="14.771699999999999"/>
  </r>
  <r>
    <x v="0"/>
    <x v="0"/>
    <n v="1"/>
    <n v="14.8215"/>
  </r>
  <r>
    <x v="0"/>
    <x v="0"/>
    <n v="2"/>
    <n v="14.782500000000001"/>
  </r>
  <r>
    <x v="0"/>
    <x v="0"/>
    <n v="3"/>
    <n v="14.905200000000001"/>
  </r>
  <r>
    <x v="0"/>
    <x v="0"/>
    <n v="4"/>
    <n v="14.8644"/>
  </r>
  <r>
    <x v="0"/>
    <x v="0"/>
    <n v="5"/>
    <n v="14.793699999999999"/>
  </r>
  <r>
    <x v="0"/>
    <x v="0"/>
    <n v="6"/>
    <n v="14.8019"/>
  </r>
  <r>
    <x v="0"/>
    <x v="0"/>
    <n v="7"/>
    <n v="14.765700000000001"/>
  </r>
  <r>
    <x v="0"/>
    <x v="0"/>
    <n v="8"/>
    <n v="14.7781"/>
  </r>
  <r>
    <x v="0"/>
    <x v="0"/>
    <n v="9"/>
    <n v="14.821099999999999"/>
  </r>
  <r>
    <x v="1"/>
    <x v="0"/>
    <n v="0"/>
    <n v="8.1407100000000003"/>
  </r>
  <r>
    <x v="1"/>
    <x v="0"/>
    <n v="1"/>
    <n v="8.1359499999999993"/>
  </r>
  <r>
    <x v="1"/>
    <x v="0"/>
    <n v="2"/>
    <n v="8.1415900000000008"/>
  </r>
  <r>
    <x v="1"/>
    <x v="0"/>
    <n v="3"/>
    <n v="8.1201600000000003"/>
  </r>
  <r>
    <x v="1"/>
    <x v="0"/>
    <n v="4"/>
    <n v="8.1409800000000008"/>
  </r>
  <r>
    <x v="1"/>
    <x v="0"/>
    <n v="5"/>
    <n v="8.1501099999999997"/>
  </r>
  <r>
    <x v="1"/>
    <x v="0"/>
    <n v="6"/>
    <n v="8.1508900000000004"/>
  </r>
  <r>
    <x v="1"/>
    <x v="0"/>
    <n v="7"/>
    <n v="8.1364000000000001"/>
  </r>
  <r>
    <x v="1"/>
    <x v="0"/>
    <n v="8"/>
    <n v="8.1106999999999996"/>
  </r>
  <r>
    <x v="1"/>
    <x v="0"/>
    <n v="9"/>
    <n v="8.1221700000000006"/>
  </r>
  <r>
    <x v="0"/>
    <x v="1"/>
    <n v="0"/>
    <n v="8.65977"/>
  </r>
  <r>
    <x v="0"/>
    <x v="1"/>
    <n v="1"/>
    <n v="10.273400000000001"/>
  </r>
  <r>
    <x v="0"/>
    <x v="1"/>
    <n v="2"/>
    <n v="9.0034600000000005"/>
  </r>
  <r>
    <x v="0"/>
    <x v="1"/>
    <n v="3"/>
    <n v="7.9455900000000002"/>
  </r>
  <r>
    <x v="0"/>
    <x v="1"/>
    <n v="4"/>
    <n v="9.0425299999999993"/>
  </r>
  <r>
    <x v="0"/>
    <x v="1"/>
    <n v="5"/>
    <n v="6.41005"/>
  </r>
  <r>
    <x v="0"/>
    <x v="1"/>
    <n v="6"/>
    <n v="6.5632900000000003"/>
  </r>
  <r>
    <x v="0"/>
    <x v="1"/>
    <n v="7"/>
    <n v="8.7906200000000005"/>
  </r>
  <r>
    <x v="0"/>
    <x v="1"/>
    <n v="8"/>
    <n v="6.62357"/>
  </r>
  <r>
    <x v="0"/>
    <x v="1"/>
    <n v="9"/>
    <n v="8.0984300000000005"/>
  </r>
  <r>
    <x v="1"/>
    <x v="1"/>
    <n v="0"/>
    <n v="6.2266700000000004"/>
  </r>
  <r>
    <x v="1"/>
    <x v="1"/>
    <n v="1"/>
    <n v="5.6299599999999996"/>
  </r>
  <r>
    <x v="1"/>
    <x v="1"/>
    <n v="2"/>
    <n v="5.89154"/>
  </r>
  <r>
    <x v="1"/>
    <x v="1"/>
    <n v="3"/>
    <n v="4.8978599999999997"/>
  </r>
  <r>
    <x v="1"/>
    <x v="1"/>
    <n v="4"/>
    <n v="5.0074100000000001"/>
  </r>
  <r>
    <x v="1"/>
    <x v="1"/>
    <n v="5"/>
    <n v="4.9963199999999999"/>
  </r>
  <r>
    <x v="1"/>
    <x v="1"/>
    <n v="6"/>
    <n v="6.2537099999999999"/>
  </r>
  <r>
    <x v="1"/>
    <x v="1"/>
    <n v="7"/>
    <n v="5.4444699999999999"/>
  </r>
  <r>
    <x v="1"/>
    <x v="1"/>
    <n v="8"/>
    <n v="5.5759699999999999"/>
  </r>
  <r>
    <x v="1"/>
    <x v="1"/>
    <n v="9"/>
    <n v="4.7423200000000003"/>
  </r>
  <r>
    <x v="0"/>
    <x v="2"/>
    <n v="0"/>
    <n v="4.6400499999999996"/>
  </r>
  <r>
    <x v="0"/>
    <x v="2"/>
    <n v="1"/>
    <n v="4.7598500000000001"/>
  </r>
  <r>
    <x v="0"/>
    <x v="2"/>
    <n v="2"/>
    <n v="5.0639599999999998"/>
  </r>
  <r>
    <x v="0"/>
    <x v="2"/>
    <n v="3"/>
    <n v="4.4722600000000003"/>
  </r>
  <r>
    <x v="0"/>
    <x v="2"/>
    <n v="4"/>
    <n v="5.6365100000000004"/>
  </r>
  <r>
    <x v="0"/>
    <x v="2"/>
    <n v="5"/>
    <n v="5.2376199999999997"/>
  </r>
  <r>
    <x v="0"/>
    <x v="2"/>
    <n v="6"/>
    <n v="5.0487399999999996"/>
  </r>
  <r>
    <x v="0"/>
    <x v="2"/>
    <n v="7"/>
    <n v="4.3079700000000001"/>
  </r>
  <r>
    <x v="0"/>
    <x v="2"/>
    <n v="8"/>
    <n v="5.3018900000000002"/>
  </r>
  <r>
    <x v="0"/>
    <x v="2"/>
    <n v="9"/>
    <n v="4.0703500000000004"/>
  </r>
  <r>
    <x v="1"/>
    <x v="2"/>
    <n v="0"/>
    <n v="3.6833100000000001"/>
  </r>
  <r>
    <x v="1"/>
    <x v="2"/>
    <n v="1"/>
    <n v="4.39384"/>
  </r>
  <r>
    <x v="1"/>
    <x v="2"/>
    <n v="2"/>
    <n v="4.9855499999999999"/>
  </r>
  <r>
    <x v="1"/>
    <x v="2"/>
    <n v="3"/>
    <n v="4.2234600000000002"/>
  </r>
  <r>
    <x v="1"/>
    <x v="2"/>
    <n v="4"/>
    <n v="4.9867299999999997"/>
  </r>
  <r>
    <x v="1"/>
    <x v="2"/>
    <n v="5"/>
    <n v="4.4911599999999998"/>
  </r>
  <r>
    <x v="1"/>
    <x v="2"/>
    <n v="6"/>
    <n v="3.5491799999999998"/>
  </r>
  <r>
    <x v="1"/>
    <x v="2"/>
    <n v="7"/>
    <n v="4.8910200000000001"/>
  </r>
  <r>
    <x v="1"/>
    <x v="2"/>
    <n v="8"/>
    <n v="3.52807"/>
  </r>
  <r>
    <x v="1"/>
    <x v="2"/>
    <n v="9"/>
    <n v="5.4085000000000001"/>
  </r>
  <r>
    <x v="0"/>
    <x v="3"/>
    <n v="0"/>
    <n v="3.3288000000000002"/>
  </r>
  <r>
    <x v="0"/>
    <x v="3"/>
    <n v="1"/>
    <n v="3.8698399999999999"/>
  </r>
  <r>
    <x v="0"/>
    <x v="3"/>
    <n v="2"/>
    <n v="2.9087000000000001"/>
  </r>
  <r>
    <x v="0"/>
    <x v="3"/>
    <n v="3"/>
    <n v="2.8251499999999998"/>
  </r>
  <r>
    <x v="0"/>
    <x v="3"/>
    <n v="4"/>
    <n v="4.2557799999999997"/>
  </r>
  <r>
    <x v="0"/>
    <x v="3"/>
    <n v="5"/>
    <n v="3.6088900000000002"/>
  </r>
  <r>
    <x v="0"/>
    <x v="3"/>
    <n v="6"/>
    <n v="4.2614400000000003"/>
  </r>
  <r>
    <x v="0"/>
    <x v="3"/>
    <n v="7"/>
    <n v="2.58318"/>
  </r>
  <r>
    <x v="0"/>
    <x v="3"/>
    <n v="8"/>
    <n v="3.8673999999999999"/>
  </r>
  <r>
    <x v="0"/>
    <x v="3"/>
    <n v="9"/>
    <n v="3.44726"/>
  </r>
  <r>
    <x v="1"/>
    <x v="3"/>
    <n v="0"/>
    <n v="4.8707399999999996"/>
  </r>
  <r>
    <x v="1"/>
    <x v="3"/>
    <n v="1"/>
    <n v="3.0866099999999999"/>
  </r>
  <r>
    <x v="1"/>
    <x v="3"/>
    <n v="2"/>
    <n v="3.5229599999999999"/>
  </r>
  <r>
    <x v="1"/>
    <x v="3"/>
    <n v="3"/>
    <n v="3.3287499999999999"/>
  </r>
  <r>
    <x v="1"/>
    <x v="3"/>
    <n v="4"/>
    <n v="3.73108"/>
  </r>
  <r>
    <x v="1"/>
    <x v="3"/>
    <n v="5"/>
    <n v="4.4643100000000002"/>
  </r>
  <r>
    <x v="1"/>
    <x v="3"/>
    <n v="6"/>
    <n v="2.9237700000000002"/>
  </r>
  <r>
    <x v="1"/>
    <x v="3"/>
    <n v="7"/>
    <n v="3.49891"/>
  </r>
  <r>
    <x v="1"/>
    <x v="3"/>
    <n v="8"/>
    <n v="3.6874600000000002"/>
  </r>
  <r>
    <x v="1"/>
    <x v="3"/>
    <n v="9"/>
    <n v="3.5746500000000001"/>
  </r>
  <r>
    <x v="2"/>
    <x v="0"/>
    <n v="0"/>
    <n v="7.2688699999999997"/>
  </r>
  <r>
    <x v="2"/>
    <x v="0"/>
    <n v="1"/>
    <n v="7.2794400000000001"/>
  </r>
  <r>
    <x v="2"/>
    <x v="0"/>
    <n v="2"/>
    <n v="7.2704899999999997"/>
  </r>
  <r>
    <x v="2"/>
    <x v="0"/>
    <n v="3"/>
    <n v="7.2675700000000001"/>
  </r>
  <r>
    <x v="2"/>
    <x v="0"/>
    <n v="4"/>
    <n v="7.2694799999999997"/>
  </r>
  <r>
    <x v="2"/>
    <x v="0"/>
    <n v="5"/>
    <n v="7.4143800000000004"/>
  </r>
  <r>
    <x v="2"/>
    <x v="0"/>
    <n v="6"/>
    <n v="7.2761399999999998"/>
  </r>
  <r>
    <x v="2"/>
    <x v="0"/>
    <n v="7"/>
    <n v="7.2876799999999999"/>
  </r>
  <r>
    <x v="2"/>
    <x v="0"/>
    <n v="8"/>
    <n v="7.2813699999999999"/>
  </r>
  <r>
    <x v="2"/>
    <x v="0"/>
    <n v="9"/>
    <n v="7.2722600000000002"/>
  </r>
  <r>
    <x v="2"/>
    <x v="1"/>
    <n v="0"/>
    <n v="3.6629900000000002"/>
  </r>
  <r>
    <x v="2"/>
    <x v="1"/>
    <n v="1"/>
    <n v="4.3097099999999999"/>
  </r>
  <r>
    <x v="2"/>
    <x v="1"/>
    <n v="2"/>
    <n v="3.7417500000000001"/>
  </r>
  <r>
    <x v="2"/>
    <x v="1"/>
    <n v="3"/>
    <n v="3.4521700000000002"/>
  </r>
  <r>
    <x v="2"/>
    <x v="1"/>
    <n v="4"/>
    <n v="3.5252300000000001"/>
  </r>
  <r>
    <x v="2"/>
    <x v="1"/>
    <n v="5"/>
    <n v="4.79772"/>
  </r>
  <r>
    <x v="2"/>
    <x v="1"/>
    <n v="6"/>
    <n v="4.3166000000000002"/>
  </r>
  <r>
    <x v="2"/>
    <x v="1"/>
    <n v="7"/>
    <n v="5.1172000000000004"/>
  </r>
  <r>
    <x v="2"/>
    <x v="1"/>
    <n v="8"/>
    <n v="5.2417199999999999"/>
  </r>
  <r>
    <x v="2"/>
    <x v="1"/>
    <n v="9"/>
    <n v="4.8197900000000002"/>
  </r>
  <r>
    <x v="2"/>
    <x v="2"/>
    <n v="0"/>
    <n v="3.1265499999999999"/>
  </r>
  <r>
    <x v="2"/>
    <x v="2"/>
    <n v="1"/>
    <n v="2.7924600000000002"/>
  </r>
  <r>
    <x v="2"/>
    <x v="2"/>
    <n v="2"/>
    <n v="3.8399700000000001"/>
  </r>
  <r>
    <x v="2"/>
    <x v="2"/>
    <n v="3"/>
    <n v="3.2292000000000001"/>
  </r>
  <r>
    <x v="2"/>
    <x v="2"/>
    <n v="4"/>
    <n v="2.9363100000000002"/>
  </r>
  <r>
    <x v="2"/>
    <x v="2"/>
    <n v="5"/>
    <n v="2.9754499999999999"/>
  </r>
  <r>
    <x v="2"/>
    <x v="2"/>
    <n v="6"/>
    <n v="2.9658500000000001"/>
  </r>
  <r>
    <x v="2"/>
    <x v="2"/>
    <n v="7"/>
    <n v="2.7299000000000002"/>
  </r>
  <r>
    <x v="2"/>
    <x v="2"/>
    <n v="8"/>
    <n v="2.5895999999999999"/>
  </r>
  <r>
    <x v="2"/>
    <x v="2"/>
    <n v="9"/>
    <n v="3.1065299999999998"/>
  </r>
  <r>
    <x v="2"/>
    <x v="3"/>
    <n v="0"/>
    <n v="6.8346400000000003"/>
  </r>
  <r>
    <x v="2"/>
    <x v="3"/>
    <n v="1"/>
    <n v="5.5873600000000003"/>
  </r>
  <r>
    <x v="2"/>
    <x v="3"/>
    <n v="2"/>
    <n v="4.9216300000000004"/>
  </r>
  <r>
    <x v="2"/>
    <x v="3"/>
    <n v="3"/>
    <n v="7.0168900000000001"/>
  </r>
  <r>
    <x v="2"/>
    <x v="3"/>
    <n v="4"/>
    <n v="4.5305099999999996"/>
  </r>
  <r>
    <x v="2"/>
    <x v="3"/>
    <n v="5"/>
    <n v="7.8549600000000002"/>
  </r>
  <r>
    <x v="2"/>
    <x v="3"/>
    <n v="6"/>
    <n v="5.4624300000000003"/>
  </r>
  <r>
    <x v="2"/>
    <x v="3"/>
    <n v="7"/>
    <n v="5.2770099999999998"/>
  </r>
  <r>
    <x v="2"/>
    <x v="3"/>
    <n v="8"/>
    <n v="6.9429400000000001"/>
  </r>
  <r>
    <x v="2"/>
    <x v="3"/>
    <n v="9"/>
    <n v="5.4385500000000002"/>
  </r>
  <r>
    <x v="3"/>
    <x v="4"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84">
  <r>
    <s v="bayes"/>
    <x v="0"/>
    <x v="0"/>
    <n v="0"/>
    <n v="30.5822"/>
    <s v="output/bayes-tl2-1-0-v32_r4096_n10_p40_i2_e8_s1_t.out"/>
    <s v="v32_r4096_n10_p40_i2_e8_s1_t"/>
    <x v="0"/>
    <x v="0"/>
  </r>
  <r>
    <s v="bayes"/>
    <x v="0"/>
    <x v="1"/>
    <n v="0"/>
    <n v="50.6813"/>
    <s v="output/bayes-tl2-2-0-v32_r4096_n10_p40_i2_e8_s1_t.out"/>
    <s v="v32_r4096_n10_p40_i2_e8_s1_t"/>
    <x v="0"/>
    <x v="0"/>
  </r>
  <r>
    <s v="bayes"/>
    <x v="0"/>
    <x v="2"/>
    <n v="0"/>
    <n v="36.145299999999999"/>
    <s v="output/bayes-tl2-4-0-v32_r4096_n10_p40_i2_e8_s1_t.out"/>
    <s v="v32_r4096_n10_p40_i2_e8_s1_t"/>
    <x v="0"/>
    <x v="0"/>
  </r>
  <r>
    <s v="bayes"/>
    <x v="0"/>
    <x v="3"/>
    <n v="0"/>
    <n v="56.406199999999998"/>
    <s v="output/bayes-tl2-8-0-v32_r4096_n10_p40_i2_e8_s1_t.out"/>
    <s v="v32_r4096_n10_p40_i2_e8_s1_t"/>
    <x v="0"/>
    <x v="0"/>
  </r>
  <r>
    <s v="genome"/>
    <x v="0"/>
    <x v="0"/>
    <n v="0"/>
    <n v="5.7860579999999997"/>
    <s v="output/genome-tl2-1-0-g16384_s64_n16777216_t.out"/>
    <s v="g16384_s64_n16777216_t"/>
    <x v="1"/>
    <x v="0"/>
  </r>
  <r>
    <s v="genome"/>
    <x v="0"/>
    <x v="1"/>
    <n v="0"/>
    <n v="5.3717969999999999"/>
    <s v="output/genome-tl2-2-0-g16384_s64_n16777216_t.out"/>
    <s v="g16384_s64_n16777216_t"/>
    <x v="1"/>
    <x v="0"/>
  </r>
  <r>
    <s v="genome"/>
    <x v="0"/>
    <x v="2"/>
    <n v="0"/>
    <n v="4.7218299999999997"/>
    <s v="output/genome-tl2-4-0-g16384_s64_n16777216_t.out"/>
    <s v="g16384_s64_n16777216_t"/>
    <x v="1"/>
    <x v="0"/>
  </r>
  <r>
    <s v="genome"/>
    <x v="0"/>
    <x v="3"/>
    <n v="0"/>
    <n v="4.5311950000000003"/>
    <s v="output/genome-tl2-8-0-g16384_s64_n16777216_t.out"/>
    <s v="g16384_s64_n16777216_t"/>
    <x v="1"/>
    <x v="0"/>
  </r>
  <r>
    <s v="intruder"/>
    <x v="0"/>
    <x v="0"/>
    <n v="0"/>
    <n v="18.158387000000001"/>
    <s v="output/intruder-tl2-1-0-a10_l128_n262144_s1_t.out"/>
    <s v="a10_l128_n262144_s1_t"/>
    <x v="2"/>
    <x v="0"/>
  </r>
  <r>
    <s v="intruder"/>
    <x v="0"/>
    <x v="1"/>
    <n v="0"/>
    <n v="18.101195000000001"/>
    <s v="output/intruder-tl2-2-0-a10_l128_n262144_s1_t.out"/>
    <s v="a10_l128_n262144_s1_t"/>
    <x v="2"/>
    <x v="0"/>
  </r>
  <r>
    <s v="intruder"/>
    <x v="0"/>
    <x v="2"/>
    <n v="0"/>
    <n v="16.473801999999999"/>
    <s v="output/intruder-tl2-4-0-a10_l128_n262144_s1_t.out"/>
    <s v="a10_l128_n262144_s1_t"/>
    <x v="2"/>
    <x v="0"/>
  </r>
  <r>
    <s v="intruder"/>
    <x v="0"/>
    <x v="3"/>
    <n v="0"/>
    <n v="20.078002000000001"/>
    <s v="output/intruder-tl2-8-0-a10_l128_n262144_s1_t.out"/>
    <s v="a10_l128_n262144_s1_t"/>
    <x v="2"/>
    <x v="0"/>
  </r>
  <r>
    <s v="kmeans"/>
    <x v="0"/>
    <x v="0"/>
    <n v="0"/>
    <n v="15.0183"/>
    <s v="output/kmeans-tl2-1-0-m40_n40_t0.out"/>
    <s v="m40_n40_t0"/>
    <x v="3"/>
    <x v="0"/>
  </r>
  <r>
    <s v="kmeans"/>
    <x v="0"/>
    <x v="1"/>
    <n v="0"/>
    <n v="8.1325800000000008"/>
    <s v="output/kmeans-tl2-2-0-m40_n40_t0.out"/>
    <s v="m40_n40_t0"/>
    <x v="3"/>
    <x v="0"/>
  </r>
  <r>
    <s v="kmeans"/>
    <x v="0"/>
    <x v="2"/>
    <n v="0"/>
    <n v="4.6966900000000003"/>
    <s v="output/kmeans-tl2-4-0-m40_n40_t0.out"/>
    <s v="m40_n40_t0"/>
    <x v="3"/>
    <x v="0"/>
  </r>
  <r>
    <s v="kmeans"/>
    <x v="0"/>
    <x v="3"/>
    <n v="0"/>
    <n v="2.9496099999999998"/>
    <s v="output/kmeans-tl2-8-0-m40_n40_t0.out"/>
    <s v="m40_n40_t0"/>
    <x v="3"/>
    <x v="0"/>
  </r>
  <r>
    <s v="kmeans"/>
    <x v="0"/>
    <x v="0"/>
    <n v="0"/>
    <n v="4.5855800000000002"/>
    <s v="output/kmeans-tl2-1-0-m15_n15_t0.out"/>
    <s v="m15_n15_t0"/>
    <x v="4"/>
    <x v="0"/>
  </r>
  <r>
    <s v="kmeans"/>
    <x v="0"/>
    <x v="1"/>
    <n v="0"/>
    <n v="2.4364699999999999"/>
    <s v="output/kmeans-tl2-2-0-m15_n15_t0.out"/>
    <s v="m15_n15_t0"/>
    <x v="4"/>
    <x v="0"/>
  </r>
  <r>
    <s v="kmeans"/>
    <x v="0"/>
    <x v="2"/>
    <n v="0"/>
    <n v="1.43997"/>
    <s v="output/kmeans-tl2-4-0-m15_n15_t0.out"/>
    <s v="m15_n15_t0"/>
    <x v="4"/>
    <x v="0"/>
  </r>
  <r>
    <s v="kmeans"/>
    <x v="0"/>
    <x v="3"/>
    <n v="0"/>
    <n v="1.24637"/>
    <s v="output/kmeans-tl2-8-0-m15_n15_t0.out"/>
    <s v="m15_n15_t0"/>
    <x v="4"/>
    <x v="0"/>
  </r>
  <r>
    <s v="labyrinth"/>
    <x v="0"/>
    <x v="0"/>
    <n v="0"/>
    <n v="65.495026999999993"/>
    <s v="output/labyrinth-tl2-1-0-i_.out"/>
    <s v="i_"/>
    <x v="5"/>
    <x v="0"/>
  </r>
  <r>
    <s v="labyrinth"/>
    <x v="0"/>
    <x v="1"/>
    <n v="0"/>
    <n v="207.01949200000001"/>
    <s v="output/labyrinth-tl2-2-0-i_.out"/>
    <s v="i_"/>
    <x v="5"/>
    <x v="0"/>
  </r>
  <r>
    <s v="labyrinth"/>
    <x v="0"/>
    <x v="2"/>
    <n v="0"/>
    <n v="234.331715"/>
    <s v="output/labyrinth-tl2-4-0-i_.out"/>
    <s v="i_"/>
    <x v="5"/>
    <x v="0"/>
  </r>
  <r>
    <s v="labyrinth"/>
    <x v="0"/>
    <x v="3"/>
    <n v="0"/>
    <n v="226.394879"/>
    <s v="output/labyrinth-tl2-8-0-i_.out"/>
    <s v="i_"/>
    <x v="5"/>
    <x v="0"/>
  </r>
  <r>
    <s v="ssca2"/>
    <x v="0"/>
    <x v="0"/>
    <n v="0"/>
    <n v="14.554252"/>
    <s v="output/ssca2-tl2-1-0-s20_i1.out"/>
    <s v="s20_i1"/>
    <x v="6"/>
    <x v="0"/>
  </r>
  <r>
    <s v="ssca2"/>
    <x v="0"/>
    <x v="1"/>
    <n v="0"/>
    <n v="13.481023"/>
    <s v="output/ssca2-tl2-2-0-s20_i1.out"/>
    <s v="s20_i1"/>
    <x v="6"/>
    <x v="0"/>
  </r>
  <r>
    <s v="ssca2"/>
    <x v="0"/>
    <x v="2"/>
    <n v="0"/>
    <n v="12.138092"/>
    <s v="output/ssca2-tl2-4-0-s20_i1.out"/>
    <s v="s20_i1"/>
    <x v="6"/>
    <x v="0"/>
  </r>
  <r>
    <s v="ssca2"/>
    <x v="0"/>
    <x v="3"/>
    <n v="0"/>
    <n v="10.992488"/>
    <s v="output/ssca2-tl2-8-0-s20_i1.out"/>
    <s v="s20_i1"/>
    <x v="6"/>
    <x v="0"/>
  </r>
  <r>
    <s v="vacation"/>
    <x v="0"/>
    <x v="0"/>
    <n v="0"/>
    <n v="25.324332999999999"/>
    <s v="output/vacation-tl2-1-0-n2_q90_u98_r1048576_t4194304_c.out"/>
    <s v="n2_q90_u98_r1048576_t4194304_c"/>
    <x v="7"/>
    <x v="0"/>
  </r>
  <r>
    <s v="vacation"/>
    <x v="0"/>
    <x v="1"/>
    <n v="0"/>
    <n v="25.596685999999998"/>
    <s v="output/vacation-tl2-2-0-n2_q90_u98_r1048576_t4194304_c.out"/>
    <s v="n2_q90_u98_r1048576_t4194304_c"/>
    <x v="7"/>
    <x v="0"/>
  </r>
  <r>
    <s v="vacation"/>
    <x v="0"/>
    <x v="2"/>
    <n v="0"/>
    <n v="19.124502"/>
    <s v="output/vacation-tl2-4-0-n2_q90_u98_r1048576_t4194304_c.out"/>
    <s v="n2_q90_u98_r1048576_t4194304_c"/>
    <x v="7"/>
    <x v="0"/>
  </r>
  <r>
    <s v="vacation"/>
    <x v="0"/>
    <x v="3"/>
    <n v="0"/>
    <n v="14.658058"/>
    <s v="output/vacation-tl2-8-0-n2_q90_u98_r1048576_t4194304_c.out"/>
    <s v="n2_q90_u98_r1048576_t4194304_c"/>
    <x v="7"/>
    <x v="0"/>
  </r>
  <r>
    <s v="vacation"/>
    <x v="0"/>
    <x v="0"/>
    <n v="0"/>
    <n v="39.188133000000001"/>
    <s v="output/vacation-tl2-1-0-n4_q60_u90_r1048576_t4194304_c.out"/>
    <s v="n4_q60_u90_r1048576_t4194304_c"/>
    <x v="8"/>
    <x v="0"/>
  </r>
  <r>
    <s v="vacation"/>
    <x v="0"/>
    <x v="1"/>
    <n v="0"/>
    <n v="34.535577000000004"/>
    <s v="output/vacation-tl2-2-0-n4_q60_u90_r1048576_t4194304_c.out"/>
    <s v="n4_q60_u90_r1048576_t4194304_c"/>
    <x v="8"/>
    <x v="0"/>
  </r>
  <r>
    <s v="vacation"/>
    <x v="0"/>
    <x v="2"/>
    <n v="0"/>
    <n v="27.170959"/>
    <s v="output/vacation-tl2-4-0-n4_q60_u90_r1048576_t4194304_c.out"/>
    <s v="n4_q60_u90_r1048576_t4194304_c"/>
    <x v="8"/>
    <x v="0"/>
  </r>
  <r>
    <s v="vacation"/>
    <x v="0"/>
    <x v="3"/>
    <n v="0"/>
    <n v="22.183897000000002"/>
    <s v="output/vacation-tl2-8-0-n4_q60_u90_r1048576_t4194304_c.out"/>
    <s v="n4_q60_u90_r1048576_t4194304_c"/>
    <x v="8"/>
    <x v="0"/>
  </r>
  <r>
    <s v="yada"/>
    <x v="0"/>
    <x v="0"/>
    <n v="0"/>
    <n v="20.298999999999999"/>
    <s v="output/yada-tl2-1-0-a15_i_.out"/>
    <s v="a15_i_"/>
    <x v="9"/>
    <x v="0"/>
  </r>
  <r>
    <s v="yada"/>
    <x v="0"/>
    <x v="1"/>
    <n v="0"/>
    <n v="28.951000000000001"/>
    <s v="output/yada-tl2-2-0-a15_i_.out"/>
    <s v="a15_i_"/>
    <x v="9"/>
    <x v="0"/>
  </r>
  <r>
    <s v="yada"/>
    <x v="0"/>
    <x v="2"/>
    <n v="0"/>
    <n v="28.05"/>
    <s v="output/yada-tl2-4-0-a15_i_.out"/>
    <s v="a15_i_"/>
    <x v="9"/>
    <x v="0"/>
  </r>
  <r>
    <s v="yada"/>
    <x v="0"/>
    <x v="3"/>
    <n v="0"/>
    <n v="27.94"/>
    <s v="output/yada-tl2-8-0-a15_i_.out"/>
    <s v="a15_i_"/>
    <x v="9"/>
    <x v="0"/>
  </r>
  <r>
    <s v="bayes"/>
    <x v="1"/>
    <x v="0"/>
    <n v="0"/>
    <n v="30.8993"/>
    <s v="output/bayes-hytm1-1-0-v32_r4096_n10_p40_i2_e8_s1_t.out"/>
    <s v="v32_r4096_n10_p40_i2_e8_s1_t"/>
    <x v="0"/>
    <x v="1"/>
  </r>
  <r>
    <s v="bayes"/>
    <x v="1"/>
    <x v="1"/>
    <n v="0"/>
    <n v="35.474499999999999"/>
    <s v="output/bayes-hytm1-2-0-v32_r4096_n10_p40_i2_e8_s1_t.out"/>
    <s v="v32_r4096_n10_p40_i2_e8_s1_t"/>
    <x v="0"/>
    <x v="1"/>
  </r>
  <r>
    <s v="bayes"/>
    <x v="1"/>
    <x v="2"/>
    <n v="0"/>
    <n v="36.851399999999998"/>
    <s v="output/bayes-hytm1-4-0-v32_r4096_n10_p40_i2_e8_s1_t.out"/>
    <s v="v32_r4096_n10_p40_i2_e8_s1_t"/>
    <x v="0"/>
    <x v="1"/>
  </r>
  <r>
    <s v="bayes"/>
    <x v="1"/>
    <x v="3"/>
    <n v="0"/>
    <n v="39.448099999999997"/>
    <s v="output/bayes-hytm1-8-0-v32_r4096_n10_p40_i2_e8_s1_t.out"/>
    <s v="v32_r4096_n10_p40_i2_e8_s1_t"/>
    <x v="0"/>
    <x v="1"/>
  </r>
  <r>
    <s v="genome"/>
    <x v="1"/>
    <x v="0"/>
    <n v="0"/>
    <n v="4.9405749999999999"/>
    <s v="output/genome-hytm1-1-0-g16384_s64_n16777216_t.out"/>
    <s v="g16384_s64_n16777216_t"/>
    <x v="1"/>
    <x v="1"/>
  </r>
  <r>
    <s v="genome"/>
    <x v="1"/>
    <x v="1"/>
    <n v="0"/>
    <n v="4.7437969999999998"/>
    <s v="output/genome-hytm1-2-0-g16384_s64_n16777216_t.out"/>
    <s v="g16384_s64_n16777216_t"/>
    <x v="1"/>
    <x v="1"/>
  </r>
  <r>
    <s v="genome"/>
    <x v="1"/>
    <x v="2"/>
    <n v="0"/>
    <n v="4.8729120000000004"/>
    <s v="output/genome-hytm1-4-0-g16384_s64_n16777216_t.out"/>
    <s v="g16384_s64_n16777216_t"/>
    <x v="1"/>
    <x v="1"/>
  </r>
  <r>
    <s v="genome"/>
    <x v="1"/>
    <x v="3"/>
    <n v="0"/>
    <n v="5.7548820000000003"/>
    <s v="output/genome-hytm1-8-0-g16384_s64_n16777216_t.out"/>
    <s v="g16384_s64_n16777216_t"/>
    <x v="1"/>
    <x v="1"/>
  </r>
  <r>
    <s v="intruder"/>
    <x v="1"/>
    <x v="0"/>
    <n v="0"/>
    <m/>
    <s v="output/intruder-hytm1-1-0-a10_l128_n262144_s1_t.out"/>
    <s v="a10_l128_n262144_s1_t"/>
    <x v="2"/>
    <x v="1"/>
  </r>
  <r>
    <s v="intruder"/>
    <x v="1"/>
    <x v="1"/>
    <n v="0"/>
    <m/>
    <s v="output/intruder-hytm1-2-0-a10_l128_n262144_s1_t.out"/>
    <s v="a10_l128_n262144_s1_t"/>
    <x v="2"/>
    <x v="1"/>
  </r>
  <r>
    <s v="intruder"/>
    <x v="1"/>
    <x v="2"/>
    <n v="0"/>
    <m/>
    <s v="output/intruder-hytm1-4-0-a10_l128_n262144_s1_t.out"/>
    <s v="a10_l128_n262144_s1_t"/>
    <x v="2"/>
    <x v="1"/>
  </r>
  <r>
    <s v="intruder"/>
    <x v="1"/>
    <x v="3"/>
    <n v="0"/>
    <m/>
    <s v="output/intruder-hytm1-8-0-a10_l128_n262144_s1_t.out"/>
    <s v="a10_l128_n262144_s1_t"/>
    <x v="2"/>
    <x v="1"/>
  </r>
  <r>
    <s v="kmeans"/>
    <x v="1"/>
    <x v="0"/>
    <n v="0"/>
    <n v="7.2672400000000001"/>
    <s v="output/kmeans-hytm1-1-0-m40_n40_t0.out"/>
    <s v="m40_n40_t0"/>
    <x v="3"/>
    <x v="1"/>
  </r>
  <r>
    <s v="kmeans"/>
    <x v="1"/>
    <x v="1"/>
    <n v="0"/>
    <n v="4.1552100000000003"/>
    <s v="output/kmeans-hytm1-2-0-m40_n40_t0.out"/>
    <s v="m40_n40_t0"/>
    <x v="3"/>
    <x v="1"/>
  </r>
  <r>
    <s v="kmeans"/>
    <x v="1"/>
    <x v="2"/>
    <n v="0"/>
    <n v="4.3381999999999996"/>
    <s v="output/kmeans-hytm1-4-0-m40_n40_t0.out"/>
    <s v="m40_n40_t0"/>
    <x v="3"/>
    <x v="1"/>
  </r>
  <r>
    <s v="kmeans"/>
    <x v="1"/>
    <x v="3"/>
    <n v="0"/>
    <n v="5.8165500000000003"/>
    <s v="output/kmeans-hytm1-8-0-m40_n40_t0.out"/>
    <s v="m40_n40_t0"/>
    <x v="3"/>
    <x v="1"/>
  </r>
  <r>
    <s v="kmeans"/>
    <x v="1"/>
    <x v="0"/>
    <n v="0"/>
    <n v="1.4296500000000001"/>
    <s v="output/kmeans-hytm1-1-0-m15_n15_t0.out"/>
    <s v="m15_n15_t0"/>
    <x v="4"/>
    <x v="1"/>
  </r>
  <r>
    <s v="kmeans"/>
    <x v="1"/>
    <x v="1"/>
    <n v="0"/>
    <n v="1.06328"/>
    <s v="output/kmeans-hytm1-2-0-m15_n15_t0.out"/>
    <s v="m15_n15_t0"/>
    <x v="4"/>
    <x v="1"/>
  </r>
  <r>
    <s v="kmeans"/>
    <x v="1"/>
    <x v="2"/>
    <n v="0"/>
    <n v="1.14123"/>
    <s v="output/kmeans-hytm1-4-0-m15_n15_t0.out"/>
    <s v="m15_n15_t0"/>
    <x v="4"/>
    <x v="1"/>
  </r>
  <r>
    <s v="kmeans"/>
    <x v="1"/>
    <x v="3"/>
    <n v="0"/>
    <n v="2.6190600000000002"/>
    <s v="output/kmeans-hytm1-8-0-m15_n15_t0.out"/>
    <s v="m15_n15_t0"/>
    <x v="4"/>
    <x v="1"/>
  </r>
  <r>
    <s v="labyrinth"/>
    <x v="1"/>
    <x v="0"/>
    <n v="0"/>
    <n v="66.757086000000001"/>
    <s v="output/labyrinth-hytm1-1-0-i_.out"/>
    <s v="i_"/>
    <x v="5"/>
    <x v="1"/>
  </r>
  <r>
    <s v="labyrinth"/>
    <x v="1"/>
    <x v="1"/>
    <n v="0"/>
    <n v="93.082307999999998"/>
    <s v="output/labyrinth-hytm1-2-0-i_.out"/>
    <s v="i_"/>
    <x v="5"/>
    <x v="1"/>
  </r>
  <r>
    <s v="labyrinth"/>
    <x v="1"/>
    <x v="2"/>
    <n v="0"/>
    <n v="94.414649999999995"/>
    <s v="output/labyrinth-hytm1-4-0-i_.out"/>
    <s v="i_"/>
    <x v="5"/>
    <x v="1"/>
  </r>
  <r>
    <s v="labyrinth"/>
    <x v="1"/>
    <x v="3"/>
    <n v="0"/>
    <n v="132.608532"/>
    <s v="output/labyrinth-hytm1-8-0-i_.out"/>
    <s v="i_"/>
    <x v="5"/>
    <x v="1"/>
  </r>
  <r>
    <s v="ssca2"/>
    <x v="1"/>
    <x v="0"/>
    <n v="0"/>
    <n v="10.899697"/>
    <s v="output/ssca2-hytm1-1-0-s20_i1.out"/>
    <s v="s20_i1"/>
    <x v="6"/>
    <x v="1"/>
  </r>
  <r>
    <s v="ssca2"/>
    <x v="1"/>
    <x v="1"/>
    <n v="0"/>
    <n v="11.589243"/>
    <s v="output/ssca2-hytm1-2-0-s20_i1.out"/>
    <s v="s20_i1"/>
    <x v="6"/>
    <x v="1"/>
  </r>
  <r>
    <s v="ssca2"/>
    <x v="1"/>
    <x v="2"/>
    <n v="0"/>
    <n v="10.654502000000001"/>
    <s v="output/ssca2-hytm1-4-0-s20_i1.out"/>
    <s v="s20_i1"/>
    <x v="6"/>
    <x v="1"/>
  </r>
  <r>
    <s v="ssca2"/>
    <x v="1"/>
    <x v="3"/>
    <n v="0"/>
    <n v="10.418367999999999"/>
    <s v="output/ssca2-hytm1-8-0-s20_i1.out"/>
    <s v="s20_i1"/>
    <x v="6"/>
    <x v="1"/>
  </r>
  <r>
    <s v="vacation"/>
    <x v="1"/>
    <x v="0"/>
    <n v="0"/>
    <m/>
    <s v="output/vacation-hytm1-1-0-n2_q90_u98_r1048576_t4194304_c.out"/>
    <s v="n2_q90_u98_r1048576_t4194304_c"/>
    <x v="7"/>
    <x v="1"/>
  </r>
  <r>
    <s v="vacation"/>
    <x v="1"/>
    <x v="1"/>
    <n v="0"/>
    <m/>
    <s v="output/vacation-hytm1-2-0-n2_q90_u98_r1048576_t4194304_c.out"/>
    <s v="n2_q90_u98_r1048576_t4194304_c"/>
    <x v="7"/>
    <x v="1"/>
  </r>
  <r>
    <s v="vacation"/>
    <x v="1"/>
    <x v="2"/>
    <n v="0"/>
    <m/>
    <s v="output/vacation-hytm1-4-0-n2_q90_u98_r1048576_t4194304_c.out"/>
    <s v="n2_q90_u98_r1048576_t4194304_c"/>
    <x v="7"/>
    <x v="1"/>
  </r>
  <r>
    <s v="vacation"/>
    <x v="1"/>
    <x v="3"/>
    <n v="0"/>
    <m/>
    <s v="output/vacation-hytm1-8-0-n2_q90_u98_r1048576_t4194304_c.out"/>
    <s v="n2_q90_u98_r1048576_t4194304_c"/>
    <x v="7"/>
    <x v="1"/>
  </r>
  <r>
    <s v="vacation"/>
    <x v="1"/>
    <x v="0"/>
    <n v="0"/>
    <m/>
    <s v="output/vacation-hytm1-1-0-n4_q60_u90_r1048576_t4194304_c.out"/>
    <s v="n4_q60_u90_r1048576_t4194304_c"/>
    <x v="8"/>
    <x v="1"/>
  </r>
  <r>
    <s v="vacation"/>
    <x v="1"/>
    <x v="1"/>
    <n v="0"/>
    <m/>
    <s v="output/vacation-hytm1-2-0-n4_q60_u90_r1048576_t4194304_c.out"/>
    <s v="n4_q60_u90_r1048576_t4194304_c"/>
    <x v="8"/>
    <x v="1"/>
  </r>
  <r>
    <s v="vacation"/>
    <x v="1"/>
    <x v="2"/>
    <n v="0"/>
    <m/>
    <s v="output/vacation-hytm1-4-0-n4_q60_u90_r1048576_t4194304_c.out"/>
    <s v="n4_q60_u90_r1048576_t4194304_c"/>
    <x v="8"/>
    <x v="1"/>
  </r>
  <r>
    <s v="vacation"/>
    <x v="1"/>
    <x v="3"/>
    <n v="0"/>
    <m/>
    <s v="output/vacation-hytm1-8-0-n4_q60_u90_r1048576_t4194304_c.out"/>
    <s v="n4_q60_u90_r1048576_t4194304_c"/>
    <x v="8"/>
    <x v="1"/>
  </r>
  <r>
    <s v="yada"/>
    <x v="1"/>
    <x v="0"/>
    <n v="0"/>
    <m/>
    <s v="output/yada-hytm1-1-0-a15_i_.out"/>
    <s v="a15_i_"/>
    <x v="9"/>
    <x v="1"/>
  </r>
  <r>
    <s v="yada"/>
    <x v="1"/>
    <x v="1"/>
    <n v="0"/>
    <m/>
    <s v="output/yada-hytm1-2-0-a15_i_.out"/>
    <s v="a15_i_"/>
    <x v="9"/>
    <x v="1"/>
  </r>
  <r>
    <s v="yada"/>
    <x v="1"/>
    <x v="2"/>
    <n v="0"/>
    <m/>
    <s v="output/yada-hytm1-4-0-a15_i_.out"/>
    <s v="a15_i_"/>
    <x v="9"/>
    <x v="1"/>
  </r>
  <r>
    <s v="yada"/>
    <x v="1"/>
    <x v="3"/>
    <n v="0"/>
    <m/>
    <s v="output/yada-hytm1-8-0-a15_i_.out"/>
    <s v="a15_i_"/>
    <x v="9"/>
    <x v="1"/>
  </r>
  <r>
    <s v="bayes"/>
    <x v="2"/>
    <x v="0"/>
    <n v="0"/>
    <n v="31.1082"/>
    <s v="output/bayes-hytm2-1-0-v32_r4096_n10_p40_i2_e8_s1_t.out"/>
    <s v="v32_r4096_n10_p40_i2_e8_s1_t"/>
    <x v="0"/>
    <x v="2"/>
  </r>
  <r>
    <s v="bayes"/>
    <x v="2"/>
    <x v="1"/>
    <n v="0"/>
    <n v="55.1828"/>
    <s v="output/bayes-hytm2-2-0-v32_r4096_n10_p40_i2_e8_s1_t.out"/>
    <s v="v32_r4096_n10_p40_i2_e8_s1_t"/>
    <x v="0"/>
    <x v="2"/>
  </r>
  <r>
    <s v="bayes"/>
    <x v="2"/>
    <x v="2"/>
    <n v="0"/>
    <n v="56.033200000000001"/>
    <s v="output/bayes-hytm2-4-0-v32_r4096_n10_p40_i2_e8_s1_t.out"/>
    <s v="v32_r4096_n10_p40_i2_e8_s1_t"/>
    <x v="0"/>
    <x v="2"/>
  </r>
  <r>
    <s v="bayes"/>
    <x v="2"/>
    <x v="3"/>
    <n v="0"/>
    <n v="63.613300000000002"/>
    <s v="output/bayes-hytm2-8-0-v32_r4096_n10_p40_i2_e8_s1_t.out"/>
    <s v="v32_r4096_n10_p40_i2_e8_s1_t"/>
    <x v="0"/>
    <x v="2"/>
  </r>
  <r>
    <s v="genome"/>
    <x v="2"/>
    <x v="0"/>
    <n v="0"/>
    <n v="237.85731899999999"/>
    <s v="output/genome-hytm2-1-0-g16384_s64_n16777216_t.out"/>
    <s v="g16384_s64_n16777216_t"/>
    <x v="1"/>
    <x v="2"/>
  </r>
  <r>
    <s v="genome"/>
    <x v="2"/>
    <x v="1"/>
    <n v="0"/>
    <n v="194.49159499999999"/>
    <s v="output/genome-hytm2-2-0-g16384_s64_n16777216_t.out"/>
    <s v="g16384_s64_n16777216_t"/>
    <x v="1"/>
    <x v="2"/>
  </r>
  <r>
    <s v="genome"/>
    <x v="2"/>
    <x v="2"/>
    <n v="0"/>
    <n v="96.179490999999999"/>
    <s v="output/genome-hytm2-4-0-g16384_s64_n16777216_t.out"/>
    <s v="g16384_s64_n16777216_t"/>
    <x v="1"/>
    <x v="2"/>
  </r>
  <r>
    <s v="genome"/>
    <x v="2"/>
    <x v="3"/>
    <n v="0"/>
    <n v="70.455867999999995"/>
    <s v="output/genome-hytm2-8-0-g16384_s64_n16777216_t.out"/>
    <s v="g16384_s64_n16777216_t"/>
    <x v="1"/>
    <x v="2"/>
  </r>
  <r>
    <s v="intruder"/>
    <x v="2"/>
    <x v="0"/>
    <n v="0"/>
    <m/>
    <s v="output/intruder-hytm2-1-0-a10_l128_n262144_s1_t.out"/>
    <s v="a10_l128_n262144_s1_t"/>
    <x v="2"/>
    <x v="2"/>
  </r>
  <r>
    <s v="intruder"/>
    <x v="2"/>
    <x v="1"/>
    <n v="0"/>
    <m/>
    <s v="output/intruder-hytm2-2-0-a10_l128_n262144_s1_t.out"/>
    <s v="a10_l128_n262144_s1_t"/>
    <x v="2"/>
    <x v="2"/>
  </r>
  <r>
    <s v="intruder"/>
    <x v="2"/>
    <x v="2"/>
    <n v="0"/>
    <m/>
    <s v="output/intruder-hytm2-4-0-a10_l128_n262144_s1_t.out"/>
    <s v="a10_l128_n262144_s1_t"/>
    <x v="2"/>
    <x v="2"/>
  </r>
  <r>
    <s v="intruder"/>
    <x v="2"/>
    <x v="3"/>
    <n v="0"/>
    <m/>
    <s v="output/intruder-hytm2-8-0-a10_l128_n262144_s1_t.out"/>
    <s v="a10_l128_n262144_s1_t"/>
    <x v="2"/>
    <x v="2"/>
  </r>
  <r>
    <s v="kmeans"/>
    <x v="2"/>
    <x v="0"/>
    <n v="0"/>
    <n v="8.1160700000000006"/>
    <s v="output/kmeans-hytm2-1-0-m40_n40_t0.out"/>
    <s v="m40_n40_t0"/>
    <x v="3"/>
    <x v="2"/>
  </r>
  <r>
    <s v="kmeans"/>
    <x v="2"/>
    <x v="1"/>
    <n v="0"/>
    <n v="4.6396800000000002"/>
    <s v="output/kmeans-hytm2-2-0-m40_n40_t0.out"/>
    <s v="m40_n40_t0"/>
    <x v="3"/>
    <x v="2"/>
  </r>
  <r>
    <s v="kmeans"/>
    <x v="2"/>
    <x v="2"/>
    <n v="0"/>
    <n v="3.2542399999999998"/>
    <s v="output/kmeans-hytm2-4-0-m40_n40_t0.out"/>
    <s v="m40_n40_t0"/>
    <x v="3"/>
    <x v="2"/>
  </r>
  <r>
    <s v="kmeans"/>
    <x v="2"/>
    <x v="3"/>
    <n v="0"/>
    <n v="4.5011200000000002"/>
    <s v="output/kmeans-hytm2-8-0-m40_n40_t0.out"/>
    <s v="m40_n40_t0"/>
    <x v="3"/>
    <x v="2"/>
  </r>
  <r>
    <s v="kmeans"/>
    <x v="2"/>
    <x v="0"/>
    <n v="0"/>
    <n v="1.7886899999999999"/>
    <s v="output/kmeans-hytm2-1-0-m15_n15_t0.out"/>
    <s v="m15_n15_t0"/>
    <x v="4"/>
    <x v="2"/>
  </r>
  <r>
    <s v="kmeans"/>
    <x v="2"/>
    <x v="1"/>
    <n v="0"/>
    <n v="1.87886"/>
    <s v="output/kmeans-hytm2-2-0-m15_n15_t0.out"/>
    <s v="m15_n15_t0"/>
    <x v="4"/>
    <x v="2"/>
  </r>
  <r>
    <s v="kmeans"/>
    <x v="2"/>
    <x v="2"/>
    <n v="0"/>
    <n v="2.7387000000000001"/>
    <s v="output/kmeans-hytm2-4-0-m15_n15_t0.out"/>
    <s v="m15_n15_t0"/>
    <x v="4"/>
    <x v="2"/>
  </r>
  <r>
    <s v="kmeans"/>
    <x v="2"/>
    <x v="3"/>
    <n v="0"/>
    <n v="2.3101699999999998"/>
    <s v="output/kmeans-hytm2-8-0-m15_n15_t0.out"/>
    <s v="m15_n15_t0"/>
    <x v="4"/>
    <x v="2"/>
  </r>
  <r>
    <s v="labyrinth"/>
    <x v="2"/>
    <x v="0"/>
    <n v="0"/>
    <n v="64.137285000000006"/>
    <s v="output/labyrinth-hytm2-1-0-i_.out"/>
    <s v="i_"/>
    <x v="5"/>
    <x v="2"/>
  </r>
  <r>
    <s v="labyrinth"/>
    <x v="2"/>
    <x v="1"/>
    <n v="0"/>
    <n v="198.40885399999999"/>
    <s v="output/labyrinth-hytm2-2-0-i_.out"/>
    <s v="i_"/>
    <x v="5"/>
    <x v="2"/>
  </r>
  <r>
    <s v="labyrinth"/>
    <x v="2"/>
    <x v="2"/>
    <n v="0"/>
    <n v="207.92846"/>
    <s v="output/labyrinth-hytm2-4-0-i_.out"/>
    <s v="i_"/>
    <x v="5"/>
    <x v="2"/>
  </r>
  <r>
    <s v="labyrinth"/>
    <x v="2"/>
    <x v="3"/>
    <n v="0"/>
    <n v="199.059797"/>
    <s v="output/labyrinth-hytm2-8-0-i_.out"/>
    <s v="i_"/>
    <x v="5"/>
    <x v="2"/>
  </r>
  <r>
    <s v="ssca2"/>
    <x v="2"/>
    <x v="0"/>
    <n v="0"/>
    <n v="12.122363"/>
    <s v="output/ssca2-hytm2-1-0-s20_i1.out"/>
    <s v="s20_i1"/>
    <x v="6"/>
    <x v="2"/>
  </r>
  <r>
    <s v="ssca2"/>
    <x v="2"/>
    <x v="1"/>
    <n v="0"/>
    <n v="14.439088"/>
    <s v="output/ssca2-hytm2-2-0-s20_i1.out"/>
    <s v="s20_i1"/>
    <x v="6"/>
    <x v="2"/>
  </r>
  <r>
    <s v="ssca2"/>
    <x v="2"/>
    <x v="2"/>
    <n v="0"/>
    <n v="14.070788"/>
    <s v="output/ssca2-hytm2-4-0-s20_i1.out"/>
    <s v="s20_i1"/>
    <x v="6"/>
    <x v="2"/>
  </r>
  <r>
    <s v="ssca2"/>
    <x v="2"/>
    <x v="3"/>
    <n v="0"/>
    <n v="13.507353999999999"/>
    <s v="output/ssca2-hytm2-8-0-s20_i1.out"/>
    <s v="s20_i1"/>
    <x v="6"/>
    <x v="2"/>
  </r>
  <r>
    <s v="vacation"/>
    <x v="2"/>
    <x v="0"/>
    <n v="0"/>
    <m/>
    <s v="output/vacation-hytm2-1-0-n2_q90_u98_r1048576_t4194304_c.out"/>
    <s v="n2_q90_u98_r1048576_t4194304_c"/>
    <x v="7"/>
    <x v="2"/>
  </r>
  <r>
    <s v="vacation"/>
    <x v="2"/>
    <x v="1"/>
    <n v="0"/>
    <m/>
    <s v="output/vacation-hytm2-2-0-n2_q90_u98_r1048576_t4194304_c.out"/>
    <s v="n2_q90_u98_r1048576_t4194304_c"/>
    <x v="7"/>
    <x v="2"/>
  </r>
  <r>
    <s v="vacation"/>
    <x v="2"/>
    <x v="2"/>
    <n v="0"/>
    <m/>
    <s v="output/vacation-hytm2-4-0-n2_q90_u98_r1048576_t4194304_c.out"/>
    <s v="n2_q90_u98_r1048576_t4194304_c"/>
    <x v="7"/>
    <x v="2"/>
  </r>
  <r>
    <s v="vacation"/>
    <x v="2"/>
    <x v="3"/>
    <n v="0"/>
    <m/>
    <s v="output/vacation-hytm2-8-0-n2_q90_u98_r1048576_t4194304_c.out"/>
    <s v="n2_q90_u98_r1048576_t4194304_c"/>
    <x v="7"/>
    <x v="2"/>
  </r>
  <r>
    <s v="vacation"/>
    <x v="2"/>
    <x v="0"/>
    <n v="0"/>
    <m/>
    <s v="output/vacation-hytm2-1-0-n4_q60_u90_r1048576_t4194304_c.out"/>
    <s v="n4_q60_u90_r1048576_t4194304_c"/>
    <x v="8"/>
    <x v="2"/>
  </r>
  <r>
    <s v="vacation"/>
    <x v="2"/>
    <x v="1"/>
    <n v="0"/>
    <m/>
    <s v="output/vacation-hytm2-2-0-n4_q60_u90_r1048576_t4194304_c.out"/>
    <s v="n4_q60_u90_r1048576_t4194304_c"/>
    <x v="8"/>
    <x v="2"/>
  </r>
  <r>
    <s v="vacation"/>
    <x v="2"/>
    <x v="2"/>
    <n v="0"/>
    <m/>
    <s v="output/vacation-hytm2-4-0-n4_q60_u90_r1048576_t4194304_c.out"/>
    <s v="n4_q60_u90_r1048576_t4194304_c"/>
    <x v="8"/>
    <x v="2"/>
  </r>
  <r>
    <s v="vacation"/>
    <x v="2"/>
    <x v="3"/>
    <n v="0"/>
    <m/>
    <s v="output/vacation-hytm2-8-0-n4_q60_u90_r1048576_t4194304_c.out"/>
    <s v="n4_q60_u90_r1048576_t4194304_c"/>
    <x v="8"/>
    <x v="2"/>
  </r>
  <r>
    <s v="yada"/>
    <x v="2"/>
    <x v="0"/>
    <n v="0"/>
    <m/>
    <s v="output/yada-hytm2-1-0-a15_i_.out"/>
    <s v="a15_i_"/>
    <x v="9"/>
    <x v="2"/>
  </r>
  <r>
    <s v="yada"/>
    <x v="2"/>
    <x v="1"/>
    <n v="0"/>
    <m/>
    <s v="output/yada-hytm2-2-0-a15_i_.out"/>
    <s v="a15_i_"/>
    <x v="9"/>
    <x v="2"/>
  </r>
  <r>
    <s v="yada"/>
    <x v="2"/>
    <x v="2"/>
    <n v="0"/>
    <m/>
    <s v="output/yada-hytm2-4-0-a15_i_.out"/>
    <s v="a15_i_"/>
    <x v="9"/>
    <x v="2"/>
  </r>
  <r>
    <s v="yada"/>
    <x v="2"/>
    <x v="3"/>
    <n v="0"/>
    <m/>
    <s v="output/yada-hytm2-8-0-a15_i_.out"/>
    <s v="a15_i_"/>
    <x v="9"/>
    <x v="2"/>
  </r>
  <r>
    <s v="bayes"/>
    <x v="3"/>
    <x v="0"/>
    <n v="0"/>
    <n v="31.041799999999999"/>
    <s v="output/bayes-hytm2sw-1-0-v32_r4096_n10_p40_i2_e8_s1_t.out"/>
    <s v="v32_r4096_n10_p40_i2_e8_s1_t"/>
    <x v="0"/>
    <x v="3"/>
  </r>
  <r>
    <s v="bayes"/>
    <x v="3"/>
    <x v="1"/>
    <n v="0"/>
    <n v="56.553199999999997"/>
    <s v="output/bayes-hytm2sw-2-0-v32_r4096_n10_p40_i2_e8_s1_t.out"/>
    <s v="v32_r4096_n10_p40_i2_e8_s1_t"/>
    <x v="0"/>
    <x v="3"/>
  </r>
  <r>
    <s v="bayes"/>
    <x v="3"/>
    <x v="2"/>
    <n v="0"/>
    <n v="68.234300000000005"/>
    <s v="output/bayes-hytm2sw-4-0-v32_r4096_n10_p40_i2_e8_s1_t.out"/>
    <s v="v32_r4096_n10_p40_i2_e8_s1_t"/>
    <x v="0"/>
    <x v="3"/>
  </r>
  <r>
    <s v="bayes"/>
    <x v="3"/>
    <x v="3"/>
    <n v="0"/>
    <n v="52.200600000000001"/>
    <s v="output/bayes-hytm2sw-8-0-v32_r4096_n10_p40_i2_e8_s1_t.out"/>
    <s v="v32_r4096_n10_p40_i2_e8_s1_t"/>
    <x v="0"/>
    <x v="3"/>
  </r>
  <r>
    <s v="genome"/>
    <x v="3"/>
    <x v="0"/>
    <n v="0"/>
    <n v="230.29638399999999"/>
    <s v="output/genome-hytm2sw-1-0-g16384_s64_n16777216_t.out"/>
    <s v="g16384_s64_n16777216_t"/>
    <x v="1"/>
    <x v="3"/>
  </r>
  <r>
    <s v="genome"/>
    <x v="3"/>
    <x v="1"/>
    <n v="0"/>
    <n v="162.52689799999999"/>
    <s v="output/genome-hytm2sw-2-0-g16384_s64_n16777216_t.out"/>
    <s v="g16384_s64_n16777216_t"/>
    <x v="1"/>
    <x v="3"/>
  </r>
  <r>
    <s v="genome"/>
    <x v="3"/>
    <x v="2"/>
    <n v="0"/>
    <n v="98.009314000000003"/>
    <s v="output/genome-hytm2sw-4-0-g16384_s64_n16777216_t.out"/>
    <s v="g16384_s64_n16777216_t"/>
    <x v="1"/>
    <x v="3"/>
  </r>
  <r>
    <s v="genome"/>
    <x v="3"/>
    <x v="3"/>
    <n v="0"/>
    <n v="87.813604999999995"/>
    <s v="output/genome-hytm2sw-8-0-g16384_s64_n16777216_t.out"/>
    <s v="g16384_s64_n16777216_t"/>
    <x v="1"/>
    <x v="3"/>
  </r>
  <r>
    <s v="intruder"/>
    <x v="3"/>
    <x v="0"/>
    <n v="0"/>
    <m/>
    <s v="output/intruder-hytm2sw-1-0-a10_l128_n262144_s1_t.out"/>
    <s v="a10_l128_n262144_s1_t"/>
    <x v="2"/>
    <x v="3"/>
  </r>
  <r>
    <s v="intruder"/>
    <x v="3"/>
    <x v="1"/>
    <n v="0"/>
    <m/>
    <s v="output/intruder-hytm2sw-2-0-a10_l128_n262144_s1_t.out"/>
    <s v="a10_l128_n262144_s1_t"/>
    <x v="2"/>
    <x v="3"/>
  </r>
  <r>
    <s v="intruder"/>
    <x v="3"/>
    <x v="2"/>
    <n v="0"/>
    <m/>
    <s v="output/intruder-hytm2sw-4-0-a10_l128_n262144_s1_t.out"/>
    <s v="a10_l128_n262144_s1_t"/>
    <x v="2"/>
    <x v="3"/>
  </r>
  <r>
    <s v="intruder"/>
    <x v="3"/>
    <x v="3"/>
    <n v="0"/>
    <m/>
    <s v="output/intruder-hytm2sw-8-0-a10_l128_n262144_s1_t.out"/>
    <s v="a10_l128_n262144_s1_t"/>
    <x v="2"/>
    <x v="3"/>
  </r>
  <r>
    <s v="kmeans"/>
    <x v="3"/>
    <x v="0"/>
    <n v="0"/>
    <n v="8.1244700000000005"/>
    <s v="output/kmeans-hytm2sw-1-0-m40_n40_t0.out"/>
    <s v="m40_n40_t0"/>
    <x v="3"/>
    <x v="3"/>
  </r>
  <r>
    <s v="kmeans"/>
    <x v="3"/>
    <x v="1"/>
    <n v="0"/>
    <n v="3.80355"/>
    <s v="output/kmeans-hytm2sw-2-0-m40_n40_t0.out"/>
    <s v="m40_n40_t0"/>
    <x v="3"/>
    <x v="3"/>
  </r>
  <r>
    <s v="kmeans"/>
    <x v="3"/>
    <x v="2"/>
    <n v="0"/>
    <n v="4.2067399999999999"/>
    <s v="output/kmeans-hytm2sw-4-0-m40_n40_t0.out"/>
    <s v="m40_n40_t0"/>
    <x v="3"/>
    <x v="3"/>
  </r>
  <r>
    <s v="kmeans"/>
    <x v="3"/>
    <x v="3"/>
    <n v="0"/>
    <n v="4.0316700000000001"/>
    <s v="output/kmeans-hytm2sw-8-0-m40_n40_t0.out"/>
    <s v="m40_n40_t0"/>
    <x v="3"/>
    <x v="3"/>
  </r>
  <r>
    <s v="kmeans"/>
    <x v="3"/>
    <x v="0"/>
    <n v="0"/>
    <n v="1.77345"/>
    <s v="output/kmeans-hytm2sw-1-0-m15_n15_t0.out"/>
    <s v="m15_n15_t0"/>
    <x v="4"/>
    <x v="3"/>
  </r>
  <r>
    <s v="kmeans"/>
    <x v="3"/>
    <x v="1"/>
    <n v="0"/>
    <n v="1.7835700000000001"/>
    <s v="output/kmeans-hytm2sw-2-0-m15_n15_t0.out"/>
    <s v="m15_n15_t0"/>
    <x v="4"/>
    <x v="3"/>
  </r>
  <r>
    <s v="kmeans"/>
    <x v="3"/>
    <x v="2"/>
    <n v="0"/>
    <n v="2.67685"/>
    <s v="output/kmeans-hytm2sw-4-0-m15_n15_t0.out"/>
    <s v="m15_n15_t0"/>
    <x v="4"/>
    <x v="3"/>
  </r>
  <r>
    <s v="kmeans"/>
    <x v="3"/>
    <x v="3"/>
    <n v="0"/>
    <n v="3.14052"/>
    <s v="output/kmeans-hytm2sw-8-0-m15_n15_t0.out"/>
    <s v="m15_n15_t0"/>
    <x v="4"/>
    <x v="3"/>
  </r>
  <r>
    <s v="labyrinth"/>
    <x v="3"/>
    <x v="0"/>
    <n v="0"/>
    <n v="64.265899000000005"/>
    <s v="output/labyrinth-hytm2sw-1-0-i_.out"/>
    <s v="i_"/>
    <x v="5"/>
    <x v="3"/>
  </r>
  <r>
    <s v="labyrinth"/>
    <x v="3"/>
    <x v="1"/>
    <n v="0"/>
    <n v="211.20194799999999"/>
    <s v="output/labyrinth-hytm2sw-2-0-i_.out"/>
    <s v="i_"/>
    <x v="5"/>
    <x v="3"/>
  </r>
  <r>
    <s v="labyrinth"/>
    <x v="3"/>
    <x v="2"/>
    <n v="0"/>
    <n v="189.238508"/>
    <s v="output/labyrinth-hytm2sw-4-0-i_.out"/>
    <s v="i_"/>
    <x v="5"/>
    <x v="3"/>
  </r>
  <r>
    <s v="labyrinth"/>
    <x v="3"/>
    <x v="3"/>
    <n v="0"/>
    <n v="169.085464"/>
    <s v="output/labyrinth-hytm2sw-8-0-i_.out"/>
    <s v="i_"/>
    <x v="5"/>
    <x v="3"/>
  </r>
  <r>
    <s v="ssca2"/>
    <x v="3"/>
    <x v="0"/>
    <n v="0"/>
    <n v="11.856536"/>
    <s v="output/ssca2-hytm2sw-1-0-s20_i1.out"/>
    <s v="s20_i1"/>
    <x v="6"/>
    <x v="3"/>
  </r>
  <r>
    <s v="ssca2"/>
    <x v="3"/>
    <x v="1"/>
    <n v="0"/>
    <n v="12.475623000000001"/>
    <s v="output/ssca2-hytm2sw-2-0-s20_i1.out"/>
    <s v="s20_i1"/>
    <x v="6"/>
    <x v="3"/>
  </r>
  <r>
    <s v="ssca2"/>
    <x v="3"/>
    <x v="2"/>
    <n v="0"/>
    <n v="11.105026000000001"/>
    <s v="output/ssca2-hytm2sw-4-0-s20_i1.out"/>
    <s v="s20_i1"/>
    <x v="6"/>
    <x v="3"/>
  </r>
  <r>
    <s v="ssca2"/>
    <x v="3"/>
    <x v="3"/>
    <n v="0"/>
    <n v="10.732041000000001"/>
    <s v="output/ssca2-hytm2sw-8-0-s20_i1.out"/>
    <s v="s20_i1"/>
    <x v="6"/>
    <x v="3"/>
  </r>
  <r>
    <s v="vacation"/>
    <x v="3"/>
    <x v="0"/>
    <n v="0"/>
    <m/>
    <s v="output/vacation-hytm2sw-1-0-n2_q90_u98_r1048576_t4194304_c.out"/>
    <s v="n2_q90_u98_r1048576_t4194304_c"/>
    <x v="7"/>
    <x v="3"/>
  </r>
  <r>
    <s v="vacation"/>
    <x v="3"/>
    <x v="1"/>
    <n v="0"/>
    <m/>
    <s v="output/vacation-hytm2sw-2-0-n2_q90_u98_r1048576_t4194304_c.out"/>
    <s v="n2_q90_u98_r1048576_t4194304_c"/>
    <x v="7"/>
    <x v="3"/>
  </r>
  <r>
    <s v="vacation"/>
    <x v="3"/>
    <x v="2"/>
    <n v="0"/>
    <m/>
    <s v="output/vacation-hytm2sw-4-0-n2_q90_u98_r1048576_t4194304_c.out"/>
    <s v="n2_q90_u98_r1048576_t4194304_c"/>
    <x v="7"/>
    <x v="3"/>
  </r>
  <r>
    <s v="vacation"/>
    <x v="3"/>
    <x v="3"/>
    <n v="0"/>
    <m/>
    <s v="output/vacation-hytm2sw-8-0-n2_q90_u98_r1048576_t4194304_c.out"/>
    <s v="n2_q90_u98_r1048576_t4194304_c"/>
    <x v="7"/>
    <x v="3"/>
  </r>
  <r>
    <s v="vacation"/>
    <x v="3"/>
    <x v="0"/>
    <n v="0"/>
    <m/>
    <s v="output/vacation-hytm2sw-1-0-n4_q60_u90_r1048576_t4194304_c.out"/>
    <s v="n4_q60_u90_r1048576_t4194304_c"/>
    <x v="8"/>
    <x v="3"/>
  </r>
  <r>
    <s v="vacation"/>
    <x v="3"/>
    <x v="1"/>
    <n v="0"/>
    <m/>
    <s v="output/vacation-hytm2sw-2-0-n4_q60_u90_r1048576_t4194304_c.out"/>
    <s v="n4_q60_u90_r1048576_t4194304_c"/>
    <x v="8"/>
    <x v="3"/>
  </r>
  <r>
    <s v="vacation"/>
    <x v="3"/>
    <x v="2"/>
    <n v="0"/>
    <m/>
    <s v="output/vacation-hytm2sw-4-0-n4_q60_u90_r1048576_t4194304_c.out"/>
    <s v="n4_q60_u90_r1048576_t4194304_c"/>
    <x v="8"/>
    <x v="3"/>
  </r>
  <r>
    <s v="vacation"/>
    <x v="3"/>
    <x v="3"/>
    <n v="0"/>
    <m/>
    <s v="output/vacation-hytm2sw-8-0-n4_q60_u90_r1048576_t4194304_c.out"/>
    <s v="n4_q60_u90_r1048576_t4194304_c"/>
    <x v="8"/>
    <x v="3"/>
  </r>
  <r>
    <s v="yada"/>
    <x v="3"/>
    <x v="0"/>
    <n v="0"/>
    <m/>
    <s v="output/yada-hytm2sw-1-0-a15_i_.out"/>
    <s v="a15_i_"/>
    <x v="9"/>
    <x v="3"/>
  </r>
  <r>
    <s v="yada"/>
    <x v="3"/>
    <x v="1"/>
    <n v="0"/>
    <m/>
    <s v="output/yada-hytm2sw-2-0-a15_i_.out"/>
    <s v="a15_i_"/>
    <x v="9"/>
    <x v="3"/>
  </r>
  <r>
    <s v="yada"/>
    <x v="3"/>
    <x v="2"/>
    <n v="0"/>
    <m/>
    <s v="output/yada-hytm2sw-4-0-a15_i_.out"/>
    <s v="a15_i_"/>
    <x v="9"/>
    <x v="3"/>
  </r>
  <r>
    <s v="yada"/>
    <x v="3"/>
    <x v="3"/>
    <n v="0"/>
    <m/>
    <s v="output/yada-hytm2sw-8-0-a15_i_.out"/>
    <s v="a15_i_"/>
    <x v="9"/>
    <x v="3"/>
  </r>
  <r>
    <s v="bayes"/>
    <x v="0"/>
    <x v="0"/>
    <n v="1"/>
    <n v="30.874099999999999"/>
    <s v="output/bayes-tl2-1-1-v32_r4096_n10_p40_i2_e8_s1_t.out"/>
    <s v="v32_r4096_n10_p40_i2_e8_s1_t"/>
    <x v="0"/>
    <x v="0"/>
  </r>
  <r>
    <s v="bayes"/>
    <x v="0"/>
    <x v="1"/>
    <n v="1"/>
    <n v="54.122"/>
    <s v="output/bayes-tl2-2-1-v32_r4096_n10_p40_i2_e8_s1_t.out"/>
    <s v="v32_r4096_n10_p40_i2_e8_s1_t"/>
    <x v="0"/>
    <x v="0"/>
  </r>
  <r>
    <s v="bayes"/>
    <x v="0"/>
    <x v="2"/>
    <n v="1"/>
    <n v="55.583100000000002"/>
    <s v="output/bayes-tl2-4-1-v32_r4096_n10_p40_i2_e8_s1_t.out"/>
    <s v="v32_r4096_n10_p40_i2_e8_s1_t"/>
    <x v="0"/>
    <x v="0"/>
  </r>
  <r>
    <s v="bayes"/>
    <x v="0"/>
    <x v="3"/>
    <n v="1"/>
    <n v="32.686799999999998"/>
    <s v="output/bayes-tl2-8-1-v32_r4096_n10_p40_i2_e8_s1_t.out"/>
    <s v="v32_r4096_n10_p40_i2_e8_s1_t"/>
    <x v="0"/>
    <x v="0"/>
  </r>
  <r>
    <s v="genome"/>
    <x v="0"/>
    <x v="0"/>
    <n v="1"/>
    <n v="5.6804389999999998"/>
    <s v="output/genome-tl2-1-1-g16384_s64_n16777216_t.out"/>
    <s v="g16384_s64_n16777216_t"/>
    <x v="1"/>
    <x v="0"/>
  </r>
  <r>
    <s v="genome"/>
    <x v="0"/>
    <x v="1"/>
    <n v="1"/>
    <n v="5.6662999999999997"/>
    <s v="output/genome-tl2-2-1-g16384_s64_n16777216_t.out"/>
    <s v="g16384_s64_n16777216_t"/>
    <x v="1"/>
    <x v="0"/>
  </r>
  <r>
    <s v="genome"/>
    <x v="0"/>
    <x v="2"/>
    <n v="1"/>
    <n v="4.7674260000000004"/>
    <s v="output/genome-tl2-4-1-g16384_s64_n16777216_t.out"/>
    <s v="g16384_s64_n16777216_t"/>
    <x v="1"/>
    <x v="0"/>
  </r>
  <r>
    <s v="genome"/>
    <x v="0"/>
    <x v="3"/>
    <n v="1"/>
    <n v="4.4393599999999998"/>
    <s v="output/genome-tl2-8-1-g16384_s64_n16777216_t.out"/>
    <s v="g16384_s64_n16777216_t"/>
    <x v="1"/>
    <x v="0"/>
  </r>
  <r>
    <s v="intruder"/>
    <x v="0"/>
    <x v="0"/>
    <n v="1"/>
    <n v="18.466441"/>
    <s v="output/intruder-tl2-1-1-a10_l128_n262144_s1_t.out"/>
    <s v="a10_l128_n262144_s1_t"/>
    <x v="2"/>
    <x v="0"/>
  </r>
  <r>
    <s v="intruder"/>
    <x v="0"/>
    <x v="1"/>
    <n v="1"/>
    <n v="17.856998000000001"/>
    <s v="output/intruder-tl2-2-1-a10_l128_n262144_s1_t.out"/>
    <s v="a10_l128_n262144_s1_t"/>
    <x v="2"/>
    <x v="0"/>
  </r>
  <r>
    <s v="intruder"/>
    <x v="0"/>
    <x v="2"/>
    <n v="1"/>
    <n v="15.717670999999999"/>
    <s v="output/intruder-tl2-4-1-a10_l128_n262144_s1_t.out"/>
    <s v="a10_l128_n262144_s1_t"/>
    <x v="2"/>
    <x v="0"/>
  </r>
  <r>
    <s v="intruder"/>
    <x v="0"/>
    <x v="3"/>
    <n v="1"/>
    <n v="17.517410000000002"/>
    <s v="output/intruder-tl2-8-1-a10_l128_n262144_s1_t.out"/>
    <s v="a10_l128_n262144_s1_t"/>
    <x v="2"/>
    <x v="0"/>
  </r>
  <r>
    <s v="kmeans"/>
    <x v="0"/>
    <x v="0"/>
    <n v="1"/>
    <n v="15.0092"/>
    <s v="output/kmeans-tl2-1-1-m40_n40_t0.out"/>
    <s v="m40_n40_t0"/>
    <x v="3"/>
    <x v="0"/>
  </r>
  <r>
    <s v="kmeans"/>
    <x v="0"/>
    <x v="1"/>
    <n v="1"/>
    <n v="9.5030800000000006"/>
    <s v="output/kmeans-tl2-2-1-m40_n40_t0.out"/>
    <s v="m40_n40_t0"/>
    <x v="3"/>
    <x v="0"/>
  </r>
  <r>
    <s v="kmeans"/>
    <x v="0"/>
    <x v="2"/>
    <n v="1"/>
    <n v="4.9327699999999997"/>
    <s v="output/kmeans-tl2-4-1-m40_n40_t0.out"/>
    <s v="m40_n40_t0"/>
    <x v="3"/>
    <x v="0"/>
  </r>
  <r>
    <s v="kmeans"/>
    <x v="0"/>
    <x v="3"/>
    <n v="1"/>
    <n v="2.97993"/>
    <s v="output/kmeans-tl2-8-1-m40_n40_t0.out"/>
    <s v="m40_n40_t0"/>
    <x v="3"/>
    <x v="0"/>
  </r>
  <r>
    <s v="kmeans"/>
    <x v="0"/>
    <x v="0"/>
    <n v="1"/>
    <n v="4.5358499999999999"/>
    <s v="output/kmeans-tl2-1-1-m15_n15_t0.out"/>
    <s v="m15_n15_t0"/>
    <x v="4"/>
    <x v="0"/>
  </r>
  <r>
    <s v="kmeans"/>
    <x v="0"/>
    <x v="1"/>
    <n v="1"/>
    <n v="2.1599699999999999"/>
    <s v="output/kmeans-tl2-2-1-m15_n15_t0.out"/>
    <s v="m15_n15_t0"/>
    <x v="4"/>
    <x v="0"/>
  </r>
  <r>
    <s v="kmeans"/>
    <x v="0"/>
    <x v="2"/>
    <n v="1"/>
    <n v="1.18591"/>
    <s v="output/kmeans-tl2-4-1-m15_n15_t0.out"/>
    <s v="m15_n15_t0"/>
    <x v="4"/>
    <x v="0"/>
  </r>
  <r>
    <s v="kmeans"/>
    <x v="0"/>
    <x v="3"/>
    <n v="1"/>
    <n v="1.1947700000000001"/>
    <s v="output/kmeans-tl2-8-1-m15_n15_t0.out"/>
    <s v="m15_n15_t0"/>
    <x v="4"/>
    <x v="0"/>
  </r>
  <r>
    <s v="labyrinth"/>
    <x v="0"/>
    <x v="0"/>
    <n v="1"/>
    <n v="65.447913"/>
    <s v="output/labyrinth-tl2-1-1-i_.out"/>
    <s v="i_"/>
    <x v="5"/>
    <x v="0"/>
  </r>
  <r>
    <s v="labyrinth"/>
    <x v="0"/>
    <x v="1"/>
    <n v="1"/>
    <n v="222.52409700000001"/>
    <s v="output/labyrinth-tl2-2-1-i_.out"/>
    <s v="i_"/>
    <x v="5"/>
    <x v="0"/>
  </r>
  <r>
    <s v="labyrinth"/>
    <x v="0"/>
    <x v="2"/>
    <n v="1"/>
    <n v="232.56888599999999"/>
    <s v="output/labyrinth-tl2-4-1-i_.out"/>
    <s v="i_"/>
    <x v="5"/>
    <x v="0"/>
  </r>
  <r>
    <s v="labyrinth"/>
    <x v="0"/>
    <x v="3"/>
    <n v="1"/>
    <n v="245.57234399999999"/>
    <s v="output/labyrinth-tl2-8-1-i_.out"/>
    <s v="i_"/>
    <x v="5"/>
    <x v="0"/>
  </r>
  <r>
    <s v="ssca2"/>
    <x v="0"/>
    <x v="0"/>
    <n v="1"/>
    <n v="14.349475"/>
    <s v="output/ssca2-tl2-1-1-s20_i1.out"/>
    <s v="s20_i1"/>
    <x v="6"/>
    <x v="0"/>
  </r>
  <r>
    <s v="ssca2"/>
    <x v="0"/>
    <x v="1"/>
    <n v="1"/>
    <n v="13.424401"/>
    <s v="output/ssca2-tl2-2-1-s20_i1.out"/>
    <s v="s20_i1"/>
    <x v="6"/>
    <x v="0"/>
  </r>
  <r>
    <s v="ssca2"/>
    <x v="0"/>
    <x v="2"/>
    <n v="1"/>
    <n v="12.142476"/>
    <s v="output/ssca2-tl2-4-1-s20_i1.out"/>
    <s v="s20_i1"/>
    <x v="6"/>
    <x v="0"/>
  </r>
  <r>
    <s v="ssca2"/>
    <x v="0"/>
    <x v="3"/>
    <n v="1"/>
    <n v="11.043547"/>
    <s v="output/ssca2-tl2-8-1-s20_i1.out"/>
    <s v="s20_i1"/>
    <x v="6"/>
    <x v="0"/>
  </r>
  <r>
    <s v="vacation"/>
    <x v="0"/>
    <x v="0"/>
    <n v="1"/>
    <n v="25.163595000000001"/>
    <s v="output/vacation-tl2-1-1-n2_q90_u98_r1048576_t4194304_c.out"/>
    <s v="n2_q90_u98_r1048576_t4194304_c"/>
    <x v="7"/>
    <x v="0"/>
  </r>
  <r>
    <s v="vacation"/>
    <x v="0"/>
    <x v="1"/>
    <n v="1"/>
    <n v="24.166170999999999"/>
    <s v="output/vacation-tl2-2-1-n2_q90_u98_r1048576_t4194304_c.out"/>
    <s v="n2_q90_u98_r1048576_t4194304_c"/>
    <x v="7"/>
    <x v="0"/>
  </r>
  <r>
    <s v="vacation"/>
    <x v="0"/>
    <x v="2"/>
    <n v="1"/>
    <n v="18.597293000000001"/>
    <s v="output/vacation-tl2-4-1-n2_q90_u98_r1048576_t4194304_c.out"/>
    <s v="n2_q90_u98_r1048576_t4194304_c"/>
    <x v="7"/>
    <x v="0"/>
  </r>
  <r>
    <s v="vacation"/>
    <x v="0"/>
    <x v="3"/>
    <n v="1"/>
    <n v="15.686351"/>
    <s v="output/vacation-tl2-8-1-n2_q90_u98_r1048576_t4194304_c.out"/>
    <s v="n2_q90_u98_r1048576_t4194304_c"/>
    <x v="7"/>
    <x v="0"/>
  </r>
  <r>
    <s v="vacation"/>
    <x v="0"/>
    <x v="0"/>
    <n v="1"/>
    <n v="38.897436999999996"/>
    <s v="output/vacation-tl2-1-1-n4_q60_u90_r1048576_t4194304_c.out"/>
    <s v="n4_q60_u90_r1048576_t4194304_c"/>
    <x v="8"/>
    <x v="0"/>
  </r>
  <r>
    <s v="vacation"/>
    <x v="0"/>
    <x v="1"/>
    <n v="1"/>
    <n v="35.84957"/>
    <s v="output/vacation-tl2-2-1-n4_q60_u90_r1048576_t4194304_c.out"/>
    <s v="n4_q60_u90_r1048576_t4194304_c"/>
    <x v="8"/>
    <x v="0"/>
  </r>
  <r>
    <s v="vacation"/>
    <x v="0"/>
    <x v="2"/>
    <n v="1"/>
    <n v="27.196411999999999"/>
    <s v="output/vacation-tl2-4-1-n4_q60_u90_r1048576_t4194304_c.out"/>
    <s v="n4_q60_u90_r1048576_t4194304_c"/>
    <x v="8"/>
    <x v="0"/>
  </r>
  <r>
    <s v="vacation"/>
    <x v="0"/>
    <x v="3"/>
    <n v="1"/>
    <n v="20.616709"/>
    <s v="output/vacation-tl2-8-1-n4_q60_u90_r1048576_t4194304_c.out"/>
    <s v="n4_q60_u90_r1048576_t4194304_c"/>
    <x v="8"/>
    <x v="0"/>
  </r>
  <r>
    <s v="yada"/>
    <x v="0"/>
    <x v="0"/>
    <n v="1"/>
    <n v="20.364999999999998"/>
    <s v="output/yada-tl2-1-1-a15_i_.out"/>
    <s v="a15_i_"/>
    <x v="9"/>
    <x v="0"/>
  </r>
  <r>
    <s v="yada"/>
    <x v="0"/>
    <x v="1"/>
    <n v="1"/>
    <n v="28.600999999999999"/>
    <s v="output/yada-tl2-2-1-a15_i_.out"/>
    <s v="a15_i_"/>
    <x v="9"/>
    <x v="0"/>
  </r>
  <r>
    <s v="yada"/>
    <x v="0"/>
    <x v="2"/>
    <n v="1"/>
    <n v="28.067"/>
    <s v="output/yada-tl2-4-1-a15_i_.out"/>
    <s v="a15_i_"/>
    <x v="9"/>
    <x v="0"/>
  </r>
  <r>
    <s v="yada"/>
    <x v="0"/>
    <x v="3"/>
    <n v="1"/>
    <n v="28.108000000000001"/>
    <s v="output/yada-tl2-8-1-a15_i_.out"/>
    <s v="a15_i_"/>
    <x v="9"/>
    <x v="0"/>
  </r>
  <r>
    <s v="bayes"/>
    <x v="1"/>
    <x v="0"/>
    <n v="1"/>
    <n v="30.916"/>
    <s v="output/bayes-hytm1-1-1-v32_r4096_n10_p40_i2_e8_s1_t.out"/>
    <s v="v32_r4096_n10_p40_i2_e8_s1_t"/>
    <x v="0"/>
    <x v="1"/>
  </r>
  <r>
    <s v="bayes"/>
    <x v="1"/>
    <x v="1"/>
    <n v="1"/>
    <n v="37.338200000000001"/>
    <s v="output/bayes-hytm1-2-1-v32_r4096_n10_p40_i2_e8_s1_t.out"/>
    <s v="v32_r4096_n10_p40_i2_e8_s1_t"/>
    <x v="0"/>
    <x v="1"/>
  </r>
  <r>
    <s v="bayes"/>
    <x v="1"/>
    <x v="2"/>
    <n v="1"/>
    <n v="27.9575"/>
    <s v="output/bayes-hytm1-4-1-v32_r4096_n10_p40_i2_e8_s1_t.out"/>
    <s v="v32_r4096_n10_p40_i2_e8_s1_t"/>
    <x v="0"/>
    <x v="1"/>
  </r>
  <r>
    <s v="bayes"/>
    <x v="1"/>
    <x v="3"/>
    <n v="1"/>
    <n v="43.9803"/>
    <s v="output/bayes-hytm1-8-1-v32_r4096_n10_p40_i2_e8_s1_t.out"/>
    <s v="v32_r4096_n10_p40_i2_e8_s1_t"/>
    <x v="0"/>
    <x v="1"/>
  </r>
  <r>
    <s v="genome"/>
    <x v="1"/>
    <x v="0"/>
    <n v="1"/>
    <n v="4.9105559999999997"/>
    <s v="output/genome-hytm1-1-1-g16384_s64_n16777216_t.out"/>
    <s v="g16384_s64_n16777216_t"/>
    <x v="1"/>
    <x v="1"/>
  </r>
  <r>
    <s v="genome"/>
    <x v="1"/>
    <x v="1"/>
    <n v="1"/>
    <n v="4.8034049999999997"/>
    <s v="output/genome-hytm1-2-1-g16384_s64_n16777216_t.out"/>
    <s v="g16384_s64_n16777216_t"/>
    <x v="1"/>
    <x v="1"/>
  </r>
  <r>
    <s v="genome"/>
    <x v="1"/>
    <x v="2"/>
    <n v="1"/>
    <n v="4.7971890000000004"/>
    <s v="output/genome-hytm1-4-1-g16384_s64_n16777216_t.out"/>
    <s v="g16384_s64_n16777216_t"/>
    <x v="1"/>
    <x v="1"/>
  </r>
  <r>
    <s v="genome"/>
    <x v="1"/>
    <x v="3"/>
    <n v="1"/>
    <n v="5.7752629999999998"/>
    <s v="output/genome-hytm1-8-1-g16384_s64_n16777216_t.out"/>
    <s v="g16384_s64_n16777216_t"/>
    <x v="1"/>
    <x v="1"/>
  </r>
  <r>
    <s v="intruder"/>
    <x v="1"/>
    <x v="0"/>
    <n v="1"/>
    <m/>
    <s v="output/intruder-hytm1-1-1-a10_l128_n262144_s1_t.out"/>
    <s v="a10_l128_n262144_s1_t"/>
    <x v="2"/>
    <x v="1"/>
  </r>
  <r>
    <s v="intruder"/>
    <x v="1"/>
    <x v="1"/>
    <n v="1"/>
    <m/>
    <s v="output/intruder-hytm1-2-1-a10_l128_n262144_s1_t.out"/>
    <s v="a10_l128_n262144_s1_t"/>
    <x v="2"/>
    <x v="1"/>
  </r>
  <r>
    <s v="intruder"/>
    <x v="1"/>
    <x v="2"/>
    <n v="1"/>
    <m/>
    <s v="output/intruder-hytm1-4-1-a10_l128_n262144_s1_t.out"/>
    <s v="a10_l128_n262144_s1_t"/>
    <x v="2"/>
    <x v="1"/>
  </r>
  <r>
    <s v="intruder"/>
    <x v="1"/>
    <x v="3"/>
    <n v="1"/>
    <m/>
    <s v="output/intruder-hytm1-8-1-a10_l128_n262144_s1_t.out"/>
    <s v="a10_l128_n262144_s1_t"/>
    <x v="2"/>
    <x v="1"/>
  </r>
  <r>
    <s v="kmeans"/>
    <x v="1"/>
    <x v="0"/>
    <n v="1"/>
    <n v="7.2698700000000001"/>
    <s v="output/kmeans-hytm1-1-1-m40_n40_t0.out"/>
    <s v="m40_n40_t0"/>
    <x v="3"/>
    <x v="1"/>
  </r>
  <r>
    <s v="kmeans"/>
    <x v="1"/>
    <x v="1"/>
    <n v="1"/>
    <n v="4.4725000000000001"/>
    <s v="output/kmeans-hytm1-2-1-m40_n40_t0.out"/>
    <s v="m40_n40_t0"/>
    <x v="3"/>
    <x v="1"/>
  </r>
  <r>
    <s v="kmeans"/>
    <x v="1"/>
    <x v="2"/>
    <n v="1"/>
    <n v="2.36802"/>
    <s v="output/kmeans-hytm1-4-1-m40_n40_t0.out"/>
    <s v="m40_n40_t0"/>
    <x v="3"/>
    <x v="1"/>
  </r>
  <r>
    <s v="kmeans"/>
    <x v="1"/>
    <x v="3"/>
    <n v="1"/>
    <n v="6.4535499999999999"/>
    <s v="output/kmeans-hytm1-8-1-m40_n40_t0.out"/>
    <s v="m40_n40_t0"/>
    <x v="3"/>
    <x v="1"/>
  </r>
  <r>
    <s v="kmeans"/>
    <x v="1"/>
    <x v="0"/>
    <n v="1"/>
    <n v="1.4244699999999999"/>
    <s v="output/kmeans-hytm1-1-1-m15_n15_t0.out"/>
    <s v="m15_n15_t0"/>
    <x v="4"/>
    <x v="1"/>
  </r>
  <r>
    <s v="kmeans"/>
    <x v="1"/>
    <x v="1"/>
    <n v="1"/>
    <n v="1.1432800000000001"/>
    <s v="output/kmeans-hytm1-2-1-m15_n15_t0.out"/>
    <s v="m15_n15_t0"/>
    <x v="4"/>
    <x v="1"/>
  </r>
  <r>
    <s v="kmeans"/>
    <x v="1"/>
    <x v="2"/>
    <n v="1"/>
    <n v="1.1537299999999999"/>
    <s v="output/kmeans-hytm1-4-1-m15_n15_t0.out"/>
    <s v="m15_n15_t0"/>
    <x v="4"/>
    <x v="1"/>
  </r>
  <r>
    <s v="kmeans"/>
    <x v="1"/>
    <x v="3"/>
    <n v="1"/>
    <n v="2.7171699999999999"/>
    <s v="output/kmeans-hytm1-8-1-m15_n15_t0.out"/>
    <s v="m15_n15_t0"/>
    <x v="4"/>
    <x v="1"/>
  </r>
  <r>
    <s v="labyrinth"/>
    <x v="1"/>
    <x v="0"/>
    <n v="1"/>
    <n v="66.728956999999994"/>
    <s v="output/labyrinth-hytm1-1-1-i_.out"/>
    <s v="i_"/>
    <x v="5"/>
    <x v="1"/>
  </r>
  <r>
    <s v="labyrinth"/>
    <x v="1"/>
    <x v="1"/>
    <n v="1"/>
    <n v="89.674694000000002"/>
    <s v="output/labyrinth-hytm1-2-1-i_.out"/>
    <s v="i_"/>
    <x v="5"/>
    <x v="1"/>
  </r>
  <r>
    <s v="labyrinth"/>
    <x v="1"/>
    <x v="2"/>
    <n v="1"/>
    <n v="94.328192999999999"/>
    <s v="output/labyrinth-hytm1-4-1-i_.out"/>
    <s v="i_"/>
    <x v="5"/>
    <x v="1"/>
  </r>
  <r>
    <s v="labyrinth"/>
    <x v="1"/>
    <x v="3"/>
    <n v="1"/>
    <n v="130.81659500000001"/>
    <s v="output/labyrinth-hytm1-8-1-i_.out"/>
    <s v="i_"/>
    <x v="5"/>
    <x v="1"/>
  </r>
  <r>
    <s v="ssca2"/>
    <x v="1"/>
    <x v="0"/>
    <n v="1"/>
    <n v="10.910966999999999"/>
    <s v="output/ssca2-hytm1-1-1-s20_i1.out"/>
    <s v="s20_i1"/>
    <x v="6"/>
    <x v="1"/>
  </r>
  <r>
    <s v="ssca2"/>
    <x v="1"/>
    <x v="1"/>
    <n v="1"/>
    <n v="11.61971"/>
    <s v="output/ssca2-hytm1-2-1-s20_i1.out"/>
    <s v="s20_i1"/>
    <x v="6"/>
    <x v="1"/>
  </r>
  <r>
    <s v="ssca2"/>
    <x v="1"/>
    <x v="2"/>
    <n v="1"/>
    <n v="10.734261999999999"/>
    <s v="output/ssca2-hytm1-4-1-s20_i1.out"/>
    <s v="s20_i1"/>
    <x v="6"/>
    <x v="1"/>
  </r>
  <r>
    <s v="ssca2"/>
    <x v="1"/>
    <x v="3"/>
    <n v="1"/>
    <n v="10.386977"/>
    <s v="output/ssca2-hytm1-8-1-s20_i1.out"/>
    <s v="s20_i1"/>
    <x v="6"/>
    <x v="1"/>
  </r>
  <r>
    <s v="vacation"/>
    <x v="1"/>
    <x v="0"/>
    <n v="1"/>
    <m/>
    <s v="output/vacation-hytm1-1-1-n2_q90_u98_r1048576_t4194304_c.out"/>
    <s v="n2_q90_u98_r1048576_t4194304_c"/>
    <x v="7"/>
    <x v="1"/>
  </r>
  <r>
    <s v="vacation"/>
    <x v="1"/>
    <x v="1"/>
    <n v="1"/>
    <m/>
    <s v="output/vacation-hytm1-2-1-n2_q90_u98_r1048576_t4194304_c.out"/>
    <s v="n2_q90_u98_r1048576_t4194304_c"/>
    <x v="7"/>
    <x v="1"/>
  </r>
  <r>
    <s v="vacation"/>
    <x v="1"/>
    <x v="2"/>
    <n v="1"/>
    <m/>
    <s v="output/vacation-hytm1-4-1-n2_q90_u98_r1048576_t4194304_c.out"/>
    <s v="n2_q90_u98_r1048576_t4194304_c"/>
    <x v="7"/>
    <x v="1"/>
  </r>
  <r>
    <s v="vacation"/>
    <x v="1"/>
    <x v="3"/>
    <n v="1"/>
    <m/>
    <s v="output/vacation-hytm1-8-1-n2_q90_u98_r1048576_t4194304_c.out"/>
    <s v="n2_q90_u98_r1048576_t4194304_c"/>
    <x v="7"/>
    <x v="1"/>
  </r>
  <r>
    <s v="vacation"/>
    <x v="1"/>
    <x v="0"/>
    <n v="1"/>
    <m/>
    <s v="output/vacation-hytm1-1-1-n4_q60_u90_r1048576_t4194304_c.out"/>
    <s v="n4_q60_u90_r1048576_t4194304_c"/>
    <x v="8"/>
    <x v="1"/>
  </r>
  <r>
    <s v="vacation"/>
    <x v="1"/>
    <x v="1"/>
    <n v="1"/>
    <m/>
    <s v="output/vacation-hytm1-2-1-n4_q60_u90_r1048576_t4194304_c.out"/>
    <s v="n4_q60_u90_r1048576_t4194304_c"/>
    <x v="8"/>
    <x v="1"/>
  </r>
  <r>
    <s v="vacation"/>
    <x v="1"/>
    <x v="2"/>
    <n v="1"/>
    <m/>
    <s v="output/vacation-hytm1-4-1-n4_q60_u90_r1048576_t4194304_c.out"/>
    <s v="n4_q60_u90_r1048576_t4194304_c"/>
    <x v="8"/>
    <x v="1"/>
  </r>
  <r>
    <s v="vacation"/>
    <x v="1"/>
    <x v="3"/>
    <n v="1"/>
    <m/>
    <s v="output/vacation-hytm1-8-1-n4_q60_u90_r1048576_t4194304_c.out"/>
    <s v="n4_q60_u90_r1048576_t4194304_c"/>
    <x v="8"/>
    <x v="1"/>
  </r>
  <r>
    <s v="yada"/>
    <x v="1"/>
    <x v="0"/>
    <n v="1"/>
    <m/>
    <s v="output/yada-hytm1-1-1-a15_i_.out"/>
    <s v="a15_i_"/>
    <x v="9"/>
    <x v="1"/>
  </r>
  <r>
    <s v="yada"/>
    <x v="1"/>
    <x v="1"/>
    <n v="1"/>
    <m/>
    <s v="output/yada-hytm1-2-1-a15_i_.out"/>
    <s v="a15_i_"/>
    <x v="9"/>
    <x v="1"/>
  </r>
  <r>
    <s v="yada"/>
    <x v="1"/>
    <x v="2"/>
    <n v="1"/>
    <m/>
    <s v="output/yada-hytm1-4-1-a15_i_.out"/>
    <s v="a15_i_"/>
    <x v="9"/>
    <x v="1"/>
  </r>
  <r>
    <s v="yada"/>
    <x v="1"/>
    <x v="3"/>
    <n v="1"/>
    <m/>
    <s v="output/yada-hytm1-8-1-a15_i_.out"/>
    <s v="a15_i_"/>
    <x v="9"/>
    <x v="1"/>
  </r>
  <r>
    <s v="bayes"/>
    <x v="2"/>
    <x v="0"/>
    <n v="1"/>
    <n v="31.028600000000001"/>
    <s v="output/bayes-hytm2-1-1-v32_r4096_n10_p40_i2_e8_s1_t.out"/>
    <s v="v32_r4096_n10_p40_i2_e8_s1_t"/>
    <x v="0"/>
    <x v="2"/>
  </r>
  <r>
    <s v="bayes"/>
    <x v="2"/>
    <x v="1"/>
    <n v="1"/>
    <n v="60.069699999999997"/>
    <s v="output/bayes-hytm2-2-1-v32_r4096_n10_p40_i2_e8_s1_t.out"/>
    <s v="v32_r4096_n10_p40_i2_e8_s1_t"/>
    <x v="0"/>
    <x v="2"/>
  </r>
  <r>
    <s v="bayes"/>
    <x v="2"/>
    <x v="2"/>
    <n v="1"/>
    <n v="44.983600000000003"/>
    <s v="output/bayes-hytm2-4-1-v32_r4096_n10_p40_i2_e8_s1_t.out"/>
    <s v="v32_r4096_n10_p40_i2_e8_s1_t"/>
    <x v="0"/>
    <x v="2"/>
  </r>
  <r>
    <s v="bayes"/>
    <x v="2"/>
    <x v="3"/>
    <n v="1"/>
    <n v="93.203800000000001"/>
    <s v="output/bayes-hytm2-8-1-v32_r4096_n10_p40_i2_e8_s1_t.out"/>
    <s v="v32_r4096_n10_p40_i2_e8_s1_t"/>
    <x v="0"/>
    <x v="2"/>
  </r>
  <r>
    <s v="genome"/>
    <x v="2"/>
    <x v="0"/>
    <n v="1"/>
    <n v="256.05037399999998"/>
    <s v="output/genome-hytm2-1-1-g16384_s64_n16777216_t.out"/>
    <s v="g16384_s64_n16777216_t"/>
    <x v="1"/>
    <x v="2"/>
  </r>
  <r>
    <s v="genome"/>
    <x v="2"/>
    <x v="1"/>
    <n v="1"/>
    <n v="218.687511"/>
    <s v="output/genome-hytm2-2-1-g16384_s64_n16777216_t.out"/>
    <s v="g16384_s64_n16777216_t"/>
    <x v="1"/>
    <x v="2"/>
  </r>
  <r>
    <s v="genome"/>
    <x v="2"/>
    <x v="2"/>
    <n v="1"/>
    <n v="105.69858600000001"/>
    <s v="output/genome-hytm2-4-1-g16384_s64_n16777216_t.out"/>
    <s v="g16384_s64_n16777216_t"/>
    <x v="1"/>
    <x v="2"/>
  </r>
  <r>
    <s v="genome"/>
    <x v="2"/>
    <x v="3"/>
    <n v="1"/>
    <n v="70.262062"/>
    <s v="output/genome-hytm2-8-1-g16384_s64_n16777216_t.out"/>
    <s v="g16384_s64_n16777216_t"/>
    <x v="1"/>
    <x v="2"/>
  </r>
  <r>
    <s v="intruder"/>
    <x v="2"/>
    <x v="0"/>
    <n v="1"/>
    <m/>
    <s v="output/intruder-hytm2-1-1-a10_l128_n262144_s1_t.out"/>
    <s v="a10_l128_n262144_s1_t"/>
    <x v="2"/>
    <x v="2"/>
  </r>
  <r>
    <s v="intruder"/>
    <x v="2"/>
    <x v="1"/>
    <n v="1"/>
    <m/>
    <s v="output/intruder-hytm2-2-1-a10_l128_n262144_s1_t.out"/>
    <s v="a10_l128_n262144_s1_t"/>
    <x v="2"/>
    <x v="2"/>
  </r>
  <r>
    <s v="intruder"/>
    <x v="2"/>
    <x v="2"/>
    <n v="1"/>
    <m/>
    <s v="output/intruder-hytm2-4-1-a10_l128_n262144_s1_t.out"/>
    <s v="a10_l128_n262144_s1_t"/>
    <x v="2"/>
    <x v="2"/>
  </r>
  <r>
    <s v="intruder"/>
    <x v="2"/>
    <x v="3"/>
    <n v="1"/>
    <m/>
    <s v="output/intruder-hytm2-8-1-a10_l128_n262144_s1_t.out"/>
    <s v="a10_l128_n262144_s1_t"/>
    <x v="2"/>
    <x v="2"/>
  </r>
  <r>
    <s v="kmeans"/>
    <x v="2"/>
    <x v="0"/>
    <n v="1"/>
    <n v="8.10928"/>
    <s v="output/kmeans-hytm2-1-1-m40_n40_t0.out"/>
    <s v="m40_n40_t0"/>
    <x v="3"/>
    <x v="2"/>
  </r>
  <r>
    <s v="kmeans"/>
    <x v="2"/>
    <x v="1"/>
    <n v="1"/>
    <n v="4.6558099999999998"/>
    <s v="output/kmeans-hytm2-2-1-m40_n40_t0.out"/>
    <s v="m40_n40_t0"/>
    <x v="3"/>
    <x v="2"/>
  </r>
  <r>
    <s v="kmeans"/>
    <x v="2"/>
    <x v="2"/>
    <n v="1"/>
    <n v="3.48813"/>
    <s v="output/kmeans-hytm2-4-1-m40_n40_t0.out"/>
    <s v="m40_n40_t0"/>
    <x v="3"/>
    <x v="2"/>
  </r>
  <r>
    <s v="kmeans"/>
    <x v="2"/>
    <x v="3"/>
    <n v="1"/>
    <n v="3.6647699999999999"/>
    <s v="output/kmeans-hytm2-8-1-m40_n40_t0.out"/>
    <s v="m40_n40_t0"/>
    <x v="3"/>
    <x v="2"/>
  </r>
  <r>
    <s v="kmeans"/>
    <x v="2"/>
    <x v="0"/>
    <n v="1"/>
    <n v="1.7835799999999999"/>
    <s v="output/kmeans-hytm2-1-1-m15_n15_t0.out"/>
    <s v="m15_n15_t0"/>
    <x v="4"/>
    <x v="2"/>
  </r>
  <r>
    <s v="kmeans"/>
    <x v="2"/>
    <x v="1"/>
    <n v="1"/>
    <n v="1.7847500000000001"/>
    <s v="output/kmeans-hytm2-2-1-m15_n15_t0.out"/>
    <s v="m15_n15_t0"/>
    <x v="4"/>
    <x v="2"/>
  </r>
  <r>
    <s v="kmeans"/>
    <x v="2"/>
    <x v="2"/>
    <n v="1"/>
    <n v="2.7485400000000002"/>
    <s v="output/kmeans-hytm2-4-1-m15_n15_t0.out"/>
    <s v="m15_n15_t0"/>
    <x v="4"/>
    <x v="2"/>
  </r>
  <r>
    <s v="kmeans"/>
    <x v="2"/>
    <x v="3"/>
    <n v="1"/>
    <n v="2.7796400000000001"/>
    <s v="output/kmeans-hytm2-8-1-m15_n15_t0.out"/>
    <s v="m15_n15_t0"/>
    <x v="4"/>
    <x v="2"/>
  </r>
  <r>
    <s v="labyrinth"/>
    <x v="2"/>
    <x v="0"/>
    <n v="1"/>
    <n v="64.273257999999998"/>
    <s v="output/labyrinth-hytm2-1-1-i_.out"/>
    <s v="i_"/>
    <x v="5"/>
    <x v="2"/>
  </r>
  <r>
    <s v="labyrinth"/>
    <x v="2"/>
    <x v="1"/>
    <n v="1"/>
    <n v="197.31828899999999"/>
    <s v="output/labyrinth-hytm2-2-1-i_.out"/>
    <s v="i_"/>
    <x v="5"/>
    <x v="2"/>
  </r>
  <r>
    <s v="labyrinth"/>
    <x v="2"/>
    <x v="2"/>
    <n v="1"/>
    <n v="210.416102"/>
    <s v="output/labyrinth-hytm2-4-1-i_.out"/>
    <s v="i_"/>
    <x v="5"/>
    <x v="2"/>
  </r>
  <r>
    <s v="labyrinth"/>
    <x v="2"/>
    <x v="3"/>
    <n v="1"/>
    <n v="207.42859799999999"/>
    <s v="output/labyrinth-hytm2-8-1-i_.out"/>
    <s v="i_"/>
    <x v="5"/>
    <x v="2"/>
  </r>
  <r>
    <s v="ssca2"/>
    <x v="2"/>
    <x v="0"/>
    <n v="1"/>
    <n v="12.260771999999999"/>
    <s v="output/ssca2-hytm2-1-1-s20_i1.out"/>
    <s v="s20_i1"/>
    <x v="6"/>
    <x v="2"/>
  </r>
  <r>
    <s v="ssca2"/>
    <x v="2"/>
    <x v="1"/>
    <n v="1"/>
    <n v="14.408173"/>
    <s v="output/ssca2-hytm2-2-1-s20_i1.out"/>
    <s v="s20_i1"/>
    <x v="6"/>
    <x v="2"/>
  </r>
  <r>
    <s v="ssca2"/>
    <x v="2"/>
    <x v="2"/>
    <n v="1"/>
    <n v="13.624743"/>
    <s v="output/ssca2-hytm2-4-1-s20_i1.out"/>
    <s v="s20_i1"/>
    <x v="6"/>
    <x v="2"/>
  </r>
  <r>
    <s v="ssca2"/>
    <x v="2"/>
    <x v="3"/>
    <n v="1"/>
    <n v="13.22678"/>
    <s v="output/ssca2-hytm2-8-1-s20_i1.out"/>
    <s v="s20_i1"/>
    <x v="6"/>
    <x v="2"/>
  </r>
  <r>
    <s v="vacation"/>
    <x v="2"/>
    <x v="0"/>
    <n v="1"/>
    <m/>
    <s v="output/vacation-hytm2-1-1-n2_q90_u98_r1048576_t4194304_c.out"/>
    <s v="n2_q90_u98_r1048576_t4194304_c"/>
    <x v="7"/>
    <x v="2"/>
  </r>
  <r>
    <s v="vacation"/>
    <x v="2"/>
    <x v="1"/>
    <n v="1"/>
    <m/>
    <s v="output/vacation-hytm2-2-1-n2_q90_u98_r1048576_t4194304_c.out"/>
    <s v="n2_q90_u98_r1048576_t4194304_c"/>
    <x v="7"/>
    <x v="2"/>
  </r>
  <r>
    <s v="vacation"/>
    <x v="2"/>
    <x v="2"/>
    <n v="1"/>
    <m/>
    <s v="output/vacation-hytm2-4-1-n2_q90_u98_r1048576_t4194304_c.out"/>
    <s v="n2_q90_u98_r1048576_t4194304_c"/>
    <x v="7"/>
    <x v="2"/>
  </r>
  <r>
    <s v="vacation"/>
    <x v="2"/>
    <x v="3"/>
    <n v="1"/>
    <m/>
    <s v="output/vacation-hytm2-8-1-n2_q90_u98_r1048576_t4194304_c.out"/>
    <s v="n2_q90_u98_r1048576_t4194304_c"/>
    <x v="7"/>
    <x v="2"/>
  </r>
  <r>
    <s v="vacation"/>
    <x v="2"/>
    <x v="0"/>
    <n v="1"/>
    <m/>
    <s v="output/vacation-hytm2-1-1-n4_q60_u90_r1048576_t4194304_c.out"/>
    <s v="n4_q60_u90_r1048576_t4194304_c"/>
    <x v="8"/>
    <x v="2"/>
  </r>
  <r>
    <s v="vacation"/>
    <x v="2"/>
    <x v="1"/>
    <n v="1"/>
    <m/>
    <s v="output/vacation-hytm2-2-1-n4_q60_u90_r1048576_t4194304_c.out"/>
    <s v="n4_q60_u90_r1048576_t4194304_c"/>
    <x v="8"/>
    <x v="2"/>
  </r>
  <r>
    <s v="vacation"/>
    <x v="2"/>
    <x v="2"/>
    <n v="1"/>
    <m/>
    <s v="output/vacation-hytm2-4-1-n4_q60_u90_r1048576_t4194304_c.out"/>
    <s v="n4_q60_u90_r1048576_t4194304_c"/>
    <x v="8"/>
    <x v="2"/>
  </r>
  <r>
    <s v="vacation"/>
    <x v="2"/>
    <x v="3"/>
    <n v="1"/>
    <m/>
    <s v="output/vacation-hytm2-8-1-n4_q60_u90_r1048576_t4194304_c.out"/>
    <s v="n4_q60_u90_r1048576_t4194304_c"/>
    <x v="8"/>
    <x v="2"/>
  </r>
  <r>
    <s v="yada"/>
    <x v="2"/>
    <x v="0"/>
    <n v="1"/>
    <m/>
    <s v="output/yada-hytm2-1-1-a15_i_.out"/>
    <s v="a15_i_"/>
    <x v="9"/>
    <x v="2"/>
  </r>
  <r>
    <s v="yada"/>
    <x v="2"/>
    <x v="1"/>
    <n v="1"/>
    <m/>
    <s v="output/yada-hytm2-2-1-a15_i_.out"/>
    <s v="a15_i_"/>
    <x v="9"/>
    <x v="2"/>
  </r>
  <r>
    <s v="yada"/>
    <x v="2"/>
    <x v="2"/>
    <n v="1"/>
    <m/>
    <s v="output/yada-hytm2-4-1-a15_i_.out"/>
    <s v="a15_i_"/>
    <x v="9"/>
    <x v="2"/>
  </r>
  <r>
    <s v="yada"/>
    <x v="2"/>
    <x v="3"/>
    <n v="1"/>
    <m/>
    <s v="output/yada-hytm2-8-1-a15_i_.out"/>
    <s v="a15_i_"/>
    <x v="9"/>
    <x v="2"/>
  </r>
  <r>
    <s v="bayes"/>
    <x v="3"/>
    <x v="0"/>
    <n v="1"/>
    <n v="31.069299999999998"/>
    <s v="output/bayes-hytm2sw-1-1-v32_r4096_n10_p40_i2_e8_s1_t.out"/>
    <s v="v32_r4096_n10_p40_i2_e8_s1_t"/>
    <x v="0"/>
    <x v="3"/>
  </r>
  <r>
    <s v="bayes"/>
    <x v="3"/>
    <x v="1"/>
    <n v="1"/>
    <n v="44.856099999999998"/>
    <s v="output/bayes-hytm2sw-2-1-v32_r4096_n10_p40_i2_e8_s1_t.out"/>
    <s v="v32_r4096_n10_p40_i2_e8_s1_t"/>
    <x v="0"/>
    <x v="3"/>
  </r>
  <r>
    <s v="bayes"/>
    <x v="3"/>
    <x v="2"/>
    <n v="1"/>
    <n v="38.282299999999999"/>
    <s v="output/bayes-hytm2sw-4-1-v32_r4096_n10_p40_i2_e8_s1_t.out"/>
    <s v="v32_r4096_n10_p40_i2_e8_s1_t"/>
    <x v="0"/>
    <x v="3"/>
  </r>
  <r>
    <s v="bayes"/>
    <x v="3"/>
    <x v="3"/>
    <n v="1"/>
    <n v="51.408900000000003"/>
    <s v="output/bayes-hytm2sw-8-1-v32_r4096_n10_p40_i2_e8_s1_t.out"/>
    <s v="v32_r4096_n10_p40_i2_e8_s1_t"/>
    <x v="0"/>
    <x v="3"/>
  </r>
  <r>
    <s v="genome"/>
    <x v="3"/>
    <x v="0"/>
    <n v="1"/>
    <n v="242.704262"/>
    <s v="output/genome-hytm2sw-1-1-g16384_s64_n16777216_t.out"/>
    <s v="g16384_s64_n16777216_t"/>
    <x v="1"/>
    <x v="3"/>
  </r>
  <r>
    <s v="genome"/>
    <x v="3"/>
    <x v="1"/>
    <n v="1"/>
    <n v="221.21943300000001"/>
    <s v="output/genome-hytm2sw-2-1-g16384_s64_n16777216_t.out"/>
    <s v="g16384_s64_n16777216_t"/>
    <x v="1"/>
    <x v="3"/>
  </r>
  <r>
    <s v="genome"/>
    <x v="3"/>
    <x v="2"/>
    <n v="1"/>
    <n v="102.919719"/>
    <s v="output/genome-hytm2sw-4-1-g16384_s64_n16777216_t.out"/>
    <s v="g16384_s64_n16777216_t"/>
    <x v="1"/>
    <x v="3"/>
  </r>
  <r>
    <s v="genome"/>
    <x v="3"/>
    <x v="3"/>
    <n v="1"/>
    <n v="72.218779999999995"/>
    <s v="output/genome-hytm2sw-8-1-g16384_s64_n16777216_t.out"/>
    <s v="g16384_s64_n16777216_t"/>
    <x v="1"/>
    <x v="3"/>
  </r>
  <r>
    <s v="intruder"/>
    <x v="3"/>
    <x v="0"/>
    <n v="1"/>
    <m/>
    <s v="output/intruder-hytm2sw-1-1-a10_l128_n262144_s1_t.out"/>
    <s v="a10_l128_n262144_s1_t"/>
    <x v="2"/>
    <x v="3"/>
  </r>
  <r>
    <s v="intruder"/>
    <x v="3"/>
    <x v="1"/>
    <n v="1"/>
    <m/>
    <s v="output/intruder-hytm2sw-2-1-a10_l128_n262144_s1_t.out"/>
    <s v="a10_l128_n262144_s1_t"/>
    <x v="2"/>
    <x v="3"/>
  </r>
  <r>
    <s v="intruder"/>
    <x v="3"/>
    <x v="2"/>
    <n v="1"/>
    <m/>
    <s v="output/intruder-hytm2sw-4-1-a10_l128_n262144_s1_t.out"/>
    <s v="a10_l128_n262144_s1_t"/>
    <x v="2"/>
    <x v="3"/>
  </r>
  <r>
    <s v="intruder"/>
    <x v="3"/>
    <x v="3"/>
    <n v="1"/>
    <m/>
    <s v="output/intruder-hytm2sw-8-1-a10_l128_n262144_s1_t.out"/>
    <s v="a10_l128_n262144_s1_t"/>
    <x v="2"/>
    <x v="3"/>
  </r>
  <r>
    <s v="kmeans"/>
    <x v="3"/>
    <x v="0"/>
    <n v="1"/>
    <n v="8.1669300000000007"/>
    <s v="output/kmeans-hytm2sw-1-1-m40_n40_t0.out"/>
    <s v="m40_n40_t0"/>
    <x v="3"/>
    <x v="3"/>
  </r>
  <r>
    <s v="kmeans"/>
    <x v="3"/>
    <x v="1"/>
    <n v="1"/>
    <n v="5.0436399999999999"/>
    <s v="output/kmeans-hytm2sw-2-1-m40_n40_t0.out"/>
    <s v="m40_n40_t0"/>
    <x v="3"/>
    <x v="3"/>
  </r>
  <r>
    <s v="kmeans"/>
    <x v="3"/>
    <x v="2"/>
    <n v="1"/>
    <n v="4.1929699999999999"/>
    <s v="output/kmeans-hytm2sw-4-1-m40_n40_t0.out"/>
    <s v="m40_n40_t0"/>
    <x v="3"/>
    <x v="3"/>
  </r>
  <r>
    <s v="kmeans"/>
    <x v="3"/>
    <x v="3"/>
    <n v="1"/>
    <n v="3.7621799999999999"/>
    <s v="output/kmeans-hytm2sw-8-1-m40_n40_t0.out"/>
    <s v="m40_n40_t0"/>
    <x v="3"/>
    <x v="3"/>
  </r>
  <r>
    <s v="kmeans"/>
    <x v="3"/>
    <x v="0"/>
    <n v="1"/>
    <n v="1.7719800000000001"/>
    <s v="output/kmeans-hytm2sw-1-1-m15_n15_t0.out"/>
    <s v="m15_n15_t0"/>
    <x v="4"/>
    <x v="3"/>
  </r>
  <r>
    <s v="kmeans"/>
    <x v="3"/>
    <x v="1"/>
    <n v="1"/>
    <n v="1.59846"/>
    <s v="output/kmeans-hytm2sw-2-1-m15_n15_t0.out"/>
    <s v="m15_n15_t0"/>
    <x v="4"/>
    <x v="3"/>
  </r>
  <r>
    <s v="kmeans"/>
    <x v="3"/>
    <x v="2"/>
    <n v="1"/>
    <n v="1.9509300000000001"/>
    <s v="output/kmeans-hytm2sw-4-1-m15_n15_t0.out"/>
    <s v="m15_n15_t0"/>
    <x v="4"/>
    <x v="3"/>
  </r>
  <r>
    <s v="kmeans"/>
    <x v="3"/>
    <x v="3"/>
    <n v="1"/>
    <n v="2.6135799999999998"/>
    <s v="output/kmeans-hytm2sw-8-1-m15_n15_t0.out"/>
    <s v="m15_n15_t0"/>
    <x v="4"/>
    <x v="3"/>
  </r>
  <r>
    <s v="labyrinth"/>
    <x v="3"/>
    <x v="0"/>
    <n v="1"/>
    <n v="64.270458000000005"/>
    <s v="output/labyrinth-hytm2sw-1-1-i_.out"/>
    <s v="i_"/>
    <x v="5"/>
    <x v="3"/>
  </r>
  <r>
    <s v="labyrinth"/>
    <x v="3"/>
    <x v="1"/>
    <n v="1"/>
    <n v="223.851609"/>
    <s v="output/labyrinth-hytm2sw-2-1-i_.out"/>
    <s v="i_"/>
    <x v="5"/>
    <x v="3"/>
  </r>
  <r>
    <s v="labyrinth"/>
    <x v="3"/>
    <x v="2"/>
    <n v="1"/>
    <n v="205.04739900000001"/>
    <s v="output/labyrinth-hytm2sw-4-1-i_.out"/>
    <s v="i_"/>
    <x v="5"/>
    <x v="3"/>
  </r>
  <r>
    <s v="labyrinth"/>
    <x v="3"/>
    <x v="3"/>
    <n v="1"/>
    <n v="180.004929"/>
    <s v="output/labyrinth-hytm2sw-8-1-i_.out"/>
    <s v="i_"/>
    <x v="5"/>
    <x v="3"/>
  </r>
  <r>
    <s v="ssca2"/>
    <x v="3"/>
    <x v="0"/>
    <n v="1"/>
    <n v="12.701223000000001"/>
    <s v="output/ssca2-hytm2sw-1-1-s20_i1.out"/>
    <s v="s20_i1"/>
    <x v="6"/>
    <x v="3"/>
  </r>
  <r>
    <s v="ssca2"/>
    <x v="3"/>
    <x v="1"/>
    <n v="1"/>
    <n v="12.599874"/>
    <s v="output/ssca2-hytm2sw-2-1-s20_i1.out"/>
    <s v="s20_i1"/>
    <x v="6"/>
    <x v="3"/>
  </r>
  <r>
    <s v="ssca2"/>
    <x v="3"/>
    <x v="2"/>
    <n v="1"/>
    <n v="11.409946"/>
    <s v="output/ssca2-hytm2sw-4-1-s20_i1.out"/>
    <s v="s20_i1"/>
    <x v="6"/>
    <x v="3"/>
  </r>
  <r>
    <s v="ssca2"/>
    <x v="3"/>
    <x v="3"/>
    <n v="1"/>
    <n v="10.674238000000001"/>
    <s v="output/ssca2-hytm2sw-8-1-s20_i1.out"/>
    <s v="s20_i1"/>
    <x v="6"/>
    <x v="3"/>
  </r>
  <r>
    <s v="vacation"/>
    <x v="3"/>
    <x v="0"/>
    <n v="1"/>
    <m/>
    <s v="output/vacation-hytm2sw-1-1-n2_q90_u98_r1048576_t4194304_c.out"/>
    <s v="n2_q90_u98_r1048576_t4194304_c"/>
    <x v="7"/>
    <x v="3"/>
  </r>
  <r>
    <s v="vacation"/>
    <x v="3"/>
    <x v="1"/>
    <n v="1"/>
    <m/>
    <s v="output/vacation-hytm2sw-2-1-n2_q90_u98_r1048576_t4194304_c.out"/>
    <s v="n2_q90_u98_r1048576_t4194304_c"/>
    <x v="7"/>
    <x v="3"/>
  </r>
  <r>
    <s v="vacation"/>
    <x v="3"/>
    <x v="2"/>
    <n v="1"/>
    <m/>
    <s v="output/vacation-hytm2sw-4-1-n2_q90_u98_r1048576_t4194304_c.out"/>
    <s v="n2_q90_u98_r1048576_t4194304_c"/>
    <x v="7"/>
    <x v="3"/>
  </r>
  <r>
    <s v="vacation"/>
    <x v="3"/>
    <x v="3"/>
    <n v="1"/>
    <m/>
    <s v="output/vacation-hytm2sw-8-1-n2_q90_u98_r1048576_t4194304_c.out"/>
    <s v="n2_q90_u98_r1048576_t4194304_c"/>
    <x v="7"/>
    <x v="3"/>
  </r>
  <r>
    <s v="vacation"/>
    <x v="3"/>
    <x v="0"/>
    <n v="1"/>
    <m/>
    <s v="output/vacation-hytm2sw-1-1-n4_q60_u90_r1048576_t4194304_c.out"/>
    <s v="n4_q60_u90_r1048576_t4194304_c"/>
    <x v="8"/>
    <x v="3"/>
  </r>
  <r>
    <s v="vacation"/>
    <x v="3"/>
    <x v="1"/>
    <n v="1"/>
    <m/>
    <s v="output/vacation-hytm2sw-2-1-n4_q60_u90_r1048576_t4194304_c.out"/>
    <s v="n4_q60_u90_r1048576_t4194304_c"/>
    <x v="8"/>
    <x v="3"/>
  </r>
  <r>
    <s v="vacation"/>
    <x v="3"/>
    <x v="2"/>
    <n v="1"/>
    <m/>
    <s v="output/vacation-hytm2sw-4-1-n4_q60_u90_r1048576_t4194304_c.out"/>
    <s v="n4_q60_u90_r1048576_t4194304_c"/>
    <x v="8"/>
    <x v="3"/>
  </r>
  <r>
    <s v="vacation"/>
    <x v="3"/>
    <x v="3"/>
    <n v="1"/>
    <m/>
    <s v="output/vacation-hytm2sw-8-1-n4_q60_u90_r1048576_t4194304_c.out"/>
    <s v="n4_q60_u90_r1048576_t4194304_c"/>
    <x v="8"/>
    <x v="3"/>
  </r>
  <r>
    <s v="yada"/>
    <x v="3"/>
    <x v="0"/>
    <n v="1"/>
    <m/>
    <s v="output/yada-hytm2sw-1-1-a15_i_.out"/>
    <s v="a15_i_"/>
    <x v="9"/>
    <x v="3"/>
  </r>
  <r>
    <s v="yada"/>
    <x v="3"/>
    <x v="1"/>
    <n v="1"/>
    <m/>
    <s v="output/yada-hytm2sw-2-1-a15_i_.out"/>
    <s v="a15_i_"/>
    <x v="9"/>
    <x v="3"/>
  </r>
  <r>
    <s v="yada"/>
    <x v="3"/>
    <x v="2"/>
    <n v="1"/>
    <m/>
    <s v="output/yada-hytm2sw-4-1-a15_i_.out"/>
    <s v="a15_i_"/>
    <x v="9"/>
    <x v="3"/>
  </r>
  <r>
    <s v="yada"/>
    <x v="3"/>
    <x v="3"/>
    <n v="1"/>
    <m/>
    <s v="output/yada-hytm2sw-8-1-a15_i_.out"/>
    <s v="a15_i_"/>
    <x v="9"/>
    <x v="3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  <r>
    <m/>
    <x v="4"/>
    <x v="4"/>
    <m/>
    <m/>
    <m/>
    <m/>
    <x v="1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11" applyNumberFormats="0" applyBorderFormats="0" applyFontFormats="0" applyPatternFormats="0" applyAlignmentFormats="0" applyWidthHeightFormats="1" dataCaption="Values" updatedVersion="4" minRefreshableVersion="3" preserveFormatting="0" rowGrandTotals="0" colGrandTotals="0" itemPrintTitles="1" createdVersion="4" indent="0" outline="1" outlineData="1" multipleFieldFilters="0" chartFormat="1">
  <location ref="F1:I6" firstHeaderRow="1" firstDataRow="2" firstDataCol="1"/>
  <pivotFields count="4">
    <pivotField axis="axisCol" showAll="0">
      <items count="5">
        <item x="1"/>
        <item x="0"/>
        <item x="3"/>
        <item x="2"/>
        <item t="default"/>
      </items>
    </pivotField>
    <pivotField axis="axisRow" showAll="0">
      <items count="6">
        <item x="0"/>
        <item x="1"/>
        <item x="2"/>
        <item x="3"/>
        <item h="1" x="4"/>
        <item t="default"/>
      </items>
    </pivotField>
    <pivotField showAll="0"/>
    <pivotField dataField="1" showAll="0"/>
  </pivotFields>
  <rowFields count="1">
    <field x="1"/>
  </rowFields>
  <rowItems count="4">
    <i>
      <x/>
    </i>
    <i>
      <x v="1"/>
    </i>
    <i>
      <x v="2"/>
    </i>
    <i>
      <x v="3"/>
    </i>
  </rowItems>
  <colFields count="1">
    <field x="0"/>
  </colFields>
  <colItems count="3">
    <i>
      <x/>
    </i>
    <i>
      <x v="1"/>
    </i>
    <i>
      <x v="3"/>
    </i>
  </colItems>
  <dataFields count="1">
    <dataField name="Average of time" fld="3" subtotal="average" baseField="1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35" applyNumberFormats="0" applyBorderFormats="0" applyFontFormats="0" applyPatternFormats="0" applyAlignmentFormats="0" applyWidthHeightFormats="1" dataCaption="Values" updatedVersion="4" minRefreshableVersion="3" preserveFormatting="0" rowGrandTotals="0" colGrandTotals="0" itemPrintTitles="1" createdVersion="4" indent="0" outline="1" outlineData="1" multipleFieldFilters="0" chartFormat="1">
  <location ref="M3:Q8" firstHeaderRow="1" firstDataRow="2" firstDataCol="1" rowPageCount="1" colPageCount="1"/>
  <pivotFields count="9">
    <pivotField showAll="0"/>
    <pivotField showAll="0">
      <items count="6">
        <item x="1"/>
        <item x="2"/>
        <item x="3"/>
        <item x="0"/>
        <item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showAll="0"/>
    <pivotField showAll="0"/>
    <pivotField showAll="0" defaultSubtotal="0"/>
    <pivotField axis="axisPage" showAll="0" defaultSubtotal="0">
      <items count="11">
        <item x="0"/>
        <item x="1"/>
        <item x="2"/>
        <item x="4"/>
        <item x="3"/>
        <item x="5"/>
        <item x="6"/>
        <item x="7"/>
        <item x="8"/>
        <item x="9"/>
        <item x="10"/>
      </items>
    </pivotField>
    <pivotField axis="axisCol" showAll="0" defaultSubtotal="0">
      <items count="5">
        <item x="2"/>
        <item x="3"/>
        <item x="0"/>
        <item x="1"/>
        <item x="4"/>
      </items>
    </pivotField>
  </pivotFields>
  <rowFields count="1">
    <field x="2"/>
  </rowFields>
  <rowItems count="4">
    <i>
      <x/>
    </i>
    <i>
      <x v="1"/>
    </i>
    <i>
      <x v="2"/>
    </i>
    <i>
      <x v="3"/>
    </i>
  </rowItems>
  <colFields count="1">
    <field x="8"/>
  </colFields>
  <colItems count="4">
    <i>
      <x/>
    </i>
    <i>
      <x v="1"/>
    </i>
    <i>
      <x v="2"/>
    </i>
    <i>
      <x v="3"/>
    </i>
  </colItems>
  <pageFields count="1">
    <pageField fld="7" item="6" hier="-1"/>
  </pageFields>
  <dataFields count="1">
    <dataField name="Average of time" fld="4" subtotal="average" baseField="2" baseItem="0"/>
  </dataFields>
  <chartFormats count="1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A3A1A1"/>
      </a:dk1>
      <a:lt1>
        <a:sysClr val="window" lastClr="383635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21"/>
  <sheetViews>
    <sheetView workbookViewId="0"/>
  </sheetViews>
  <sheetFormatPr defaultRowHeight="14.25" x14ac:dyDescent="0.45"/>
  <cols>
    <col min="6" max="6" width="13.796875" bestFit="1" customWidth="1"/>
    <col min="7" max="7" width="14.73046875" bestFit="1" customWidth="1"/>
    <col min="8" max="8" width="10.73046875" customWidth="1"/>
    <col min="9" max="9" width="6.3984375" customWidth="1"/>
    <col min="10" max="10" width="10.73046875" bestFit="1" customWidth="1"/>
  </cols>
  <sheetData>
    <row r="1" spans="1:9" x14ac:dyDescent="0.45">
      <c r="A1" t="s">
        <v>2</v>
      </c>
      <c r="B1" t="s">
        <v>3</v>
      </c>
      <c r="C1" t="s">
        <v>4</v>
      </c>
      <c r="D1" t="s">
        <v>5</v>
      </c>
      <c r="F1" s="1" t="s">
        <v>8</v>
      </c>
      <c r="G1" s="1" t="s">
        <v>7</v>
      </c>
    </row>
    <row r="2" spans="1:9" x14ac:dyDescent="0.45">
      <c r="A2" t="s">
        <v>0</v>
      </c>
      <c r="B2">
        <v>1</v>
      </c>
      <c r="C2">
        <v>0</v>
      </c>
      <c r="D2">
        <v>14.771699999999999</v>
      </c>
      <c r="F2" s="1" t="s">
        <v>6</v>
      </c>
      <c r="G2" t="s">
        <v>1</v>
      </c>
      <c r="H2" t="s">
        <v>0</v>
      </c>
      <c r="I2" t="s">
        <v>9</v>
      </c>
    </row>
    <row r="3" spans="1:9" x14ac:dyDescent="0.45">
      <c r="A3" t="s">
        <v>0</v>
      </c>
      <c r="B3">
        <v>1</v>
      </c>
      <c r="C3">
        <v>1</v>
      </c>
      <c r="D3">
        <v>14.8215</v>
      </c>
      <c r="F3" s="2">
        <v>1</v>
      </c>
      <c r="G3" s="3">
        <v>8.1349659999999986</v>
      </c>
      <c r="H3" s="3">
        <v>14.810580000000002</v>
      </c>
      <c r="I3" s="3">
        <v>7.2887680000000001</v>
      </c>
    </row>
    <row r="4" spans="1:9" x14ac:dyDescent="0.45">
      <c r="A4" t="s">
        <v>0</v>
      </c>
      <c r="B4">
        <v>1</v>
      </c>
      <c r="C4">
        <v>2</v>
      </c>
      <c r="D4">
        <v>14.782500000000001</v>
      </c>
      <c r="F4" s="2">
        <v>2</v>
      </c>
      <c r="G4" s="3">
        <v>5.4666229999999993</v>
      </c>
      <c r="H4" s="3">
        <v>8.1410710000000002</v>
      </c>
      <c r="I4" s="3">
        <v>4.2984880000000008</v>
      </c>
    </row>
    <row r="5" spans="1:9" x14ac:dyDescent="0.45">
      <c r="A5" t="s">
        <v>0</v>
      </c>
      <c r="B5">
        <v>1</v>
      </c>
      <c r="C5">
        <v>3</v>
      </c>
      <c r="D5">
        <v>14.905200000000001</v>
      </c>
      <c r="F5" s="2">
        <v>4</v>
      </c>
      <c r="G5" s="3">
        <v>4.4140819999999987</v>
      </c>
      <c r="H5" s="3">
        <v>4.8539199999999996</v>
      </c>
      <c r="I5" s="3">
        <v>3.029182</v>
      </c>
    </row>
    <row r="6" spans="1:9" x14ac:dyDescent="0.45">
      <c r="A6" t="s">
        <v>0</v>
      </c>
      <c r="B6">
        <v>1</v>
      </c>
      <c r="C6">
        <v>4</v>
      </c>
      <c r="D6">
        <v>14.8644</v>
      </c>
      <c r="F6" s="2">
        <v>8</v>
      </c>
      <c r="G6" s="3">
        <v>3.6689239999999996</v>
      </c>
      <c r="H6" s="3">
        <v>3.495644</v>
      </c>
      <c r="I6" s="3">
        <v>5.9866919999999997</v>
      </c>
    </row>
    <row r="7" spans="1:9" x14ac:dyDescent="0.45">
      <c r="A7" t="s">
        <v>0</v>
      </c>
      <c r="B7">
        <v>1</v>
      </c>
      <c r="C7">
        <v>5</v>
      </c>
      <c r="D7">
        <v>14.793699999999999</v>
      </c>
    </row>
    <row r="8" spans="1:9" x14ac:dyDescent="0.45">
      <c r="A8" t="s">
        <v>0</v>
      </c>
      <c r="B8">
        <v>1</v>
      </c>
      <c r="C8">
        <v>6</v>
      </c>
      <c r="D8">
        <v>14.8019</v>
      </c>
    </row>
    <row r="9" spans="1:9" x14ac:dyDescent="0.45">
      <c r="A9" t="s">
        <v>0</v>
      </c>
      <c r="B9">
        <v>1</v>
      </c>
      <c r="C9">
        <v>7</v>
      </c>
      <c r="D9">
        <v>14.765700000000001</v>
      </c>
    </row>
    <row r="10" spans="1:9" x14ac:dyDescent="0.45">
      <c r="A10" t="s">
        <v>0</v>
      </c>
      <c r="B10">
        <v>1</v>
      </c>
      <c r="C10">
        <v>8</v>
      </c>
      <c r="D10">
        <v>14.7781</v>
      </c>
    </row>
    <row r="11" spans="1:9" x14ac:dyDescent="0.45">
      <c r="A11" t="s">
        <v>0</v>
      </c>
      <c r="B11">
        <v>1</v>
      </c>
      <c r="C11">
        <v>9</v>
      </c>
      <c r="D11">
        <v>14.821099999999999</v>
      </c>
    </row>
    <row r="12" spans="1:9" x14ac:dyDescent="0.45">
      <c r="A12" t="s">
        <v>1</v>
      </c>
      <c r="B12">
        <v>1</v>
      </c>
      <c r="C12">
        <v>0</v>
      </c>
      <c r="D12">
        <v>8.1407100000000003</v>
      </c>
    </row>
    <row r="13" spans="1:9" x14ac:dyDescent="0.45">
      <c r="A13" t="s">
        <v>1</v>
      </c>
      <c r="B13">
        <v>1</v>
      </c>
      <c r="C13">
        <v>1</v>
      </c>
      <c r="D13">
        <v>8.1359499999999993</v>
      </c>
    </row>
    <row r="14" spans="1:9" x14ac:dyDescent="0.45">
      <c r="A14" t="s">
        <v>1</v>
      </c>
      <c r="B14">
        <v>1</v>
      </c>
      <c r="C14">
        <v>2</v>
      </c>
      <c r="D14">
        <v>8.1415900000000008</v>
      </c>
    </row>
    <row r="15" spans="1:9" x14ac:dyDescent="0.45">
      <c r="A15" t="s">
        <v>1</v>
      </c>
      <c r="B15">
        <v>1</v>
      </c>
      <c r="C15">
        <v>3</v>
      </c>
      <c r="D15">
        <v>8.1201600000000003</v>
      </c>
    </row>
    <row r="16" spans="1:9" x14ac:dyDescent="0.45">
      <c r="A16" t="s">
        <v>1</v>
      </c>
      <c r="B16">
        <v>1</v>
      </c>
      <c r="C16">
        <v>4</v>
      </c>
      <c r="D16">
        <v>8.1409800000000008</v>
      </c>
    </row>
    <row r="17" spans="1:4" x14ac:dyDescent="0.45">
      <c r="A17" t="s">
        <v>1</v>
      </c>
      <c r="B17">
        <v>1</v>
      </c>
      <c r="C17">
        <v>5</v>
      </c>
      <c r="D17">
        <v>8.1501099999999997</v>
      </c>
    </row>
    <row r="18" spans="1:4" x14ac:dyDescent="0.45">
      <c r="A18" t="s">
        <v>1</v>
      </c>
      <c r="B18">
        <v>1</v>
      </c>
      <c r="C18">
        <v>6</v>
      </c>
      <c r="D18">
        <v>8.1508900000000004</v>
      </c>
    </row>
    <row r="19" spans="1:4" x14ac:dyDescent="0.45">
      <c r="A19" t="s">
        <v>1</v>
      </c>
      <c r="B19">
        <v>1</v>
      </c>
      <c r="C19">
        <v>7</v>
      </c>
      <c r="D19">
        <v>8.1364000000000001</v>
      </c>
    </row>
    <row r="20" spans="1:4" x14ac:dyDescent="0.45">
      <c r="A20" t="s">
        <v>1</v>
      </c>
      <c r="B20">
        <v>1</v>
      </c>
      <c r="C20">
        <v>8</v>
      </c>
      <c r="D20">
        <v>8.1106999999999996</v>
      </c>
    </row>
    <row r="21" spans="1:4" x14ac:dyDescent="0.45">
      <c r="A21" t="s">
        <v>1</v>
      </c>
      <c r="B21">
        <v>1</v>
      </c>
      <c r="C21">
        <v>9</v>
      </c>
      <c r="D21">
        <v>8.1221700000000006</v>
      </c>
    </row>
    <row r="22" spans="1:4" x14ac:dyDescent="0.45">
      <c r="A22" t="s">
        <v>0</v>
      </c>
      <c r="B22">
        <v>2</v>
      </c>
      <c r="C22">
        <v>0</v>
      </c>
      <c r="D22">
        <v>8.65977</v>
      </c>
    </row>
    <row r="23" spans="1:4" x14ac:dyDescent="0.45">
      <c r="A23" t="s">
        <v>0</v>
      </c>
      <c r="B23">
        <v>2</v>
      </c>
      <c r="C23">
        <v>1</v>
      </c>
      <c r="D23">
        <v>10.273400000000001</v>
      </c>
    </row>
    <row r="24" spans="1:4" x14ac:dyDescent="0.45">
      <c r="A24" t="s">
        <v>0</v>
      </c>
      <c r="B24">
        <v>2</v>
      </c>
      <c r="C24">
        <v>2</v>
      </c>
      <c r="D24">
        <v>9.0034600000000005</v>
      </c>
    </row>
    <row r="25" spans="1:4" x14ac:dyDescent="0.45">
      <c r="A25" t="s">
        <v>0</v>
      </c>
      <c r="B25">
        <v>2</v>
      </c>
      <c r="C25">
        <v>3</v>
      </c>
      <c r="D25">
        <v>7.9455900000000002</v>
      </c>
    </row>
    <row r="26" spans="1:4" x14ac:dyDescent="0.45">
      <c r="A26" t="s">
        <v>0</v>
      </c>
      <c r="B26">
        <v>2</v>
      </c>
      <c r="C26">
        <v>4</v>
      </c>
      <c r="D26">
        <v>9.0425299999999993</v>
      </c>
    </row>
    <row r="27" spans="1:4" x14ac:dyDescent="0.45">
      <c r="A27" t="s">
        <v>0</v>
      </c>
      <c r="B27">
        <v>2</v>
      </c>
      <c r="C27">
        <v>5</v>
      </c>
      <c r="D27">
        <v>6.41005</v>
      </c>
    </row>
    <row r="28" spans="1:4" x14ac:dyDescent="0.45">
      <c r="A28" t="s">
        <v>0</v>
      </c>
      <c r="B28">
        <v>2</v>
      </c>
      <c r="C28">
        <v>6</v>
      </c>
      <c r="D28">
        <v>6.5632900000000003</v>
      </c>
    </row>
    <row r="29" spans="1:4" x14ac:dyDescent="0.45">
      <c r="A29" t="s">
        <v>0</v>
      </c>
      <c r="B29">
        <v>2</v>
      </c>
      <c r="C29">
        <v>7</v>
      </c>
      <c r="D29">
        <v>8.7906200000000005</v>
      </c>
    </row>
    <row r="30" spans="1:4" x14ac:dyDescent="0.45">
      <c r="A30" t="s">
        <v>0</v>
      </c>
      <c r="B30">
        <v>2</v>
      </c>
      <c r="C30">
        <v>8</v>
      </c>
      <c r="D30">
        <v>6.62357</v>
      </c>
    </row>
    <row r="31" spans="1:4" x14ac:dyDescent="0.45">
      <c r="A31" t="s">
        <v>0</v>
      </c>
      <c r="B31">
        <v>2</v>
      </c>
      <c r="C31">
        <v>9</v>
      </c>
      <c r="D31">
        <v>8.0984300000000005</v>
      </c>
    </row>
    <row r="32" spans="1:4" x14ac:dyDescent="0.45">
      <c r="A32" t="s">
        <v>1</v>
      </c>
      <c r="B32">
        <v>2</v>
      </c>
      <c r="C32">
        <v>0</v>
      </c>
      <c r="D32">
        <v>6.2266700000000004</v>
      </c>
    </row>
    <row r="33" spans="1:4" x14ac:dyDescent="0.45">
      <c r="A33" t="s">
        <v>1</v>
      </c>
      <c r="B33">
        <v>2</v>
      </c>
      <c r="C33">
        <v>1</v>
      </c>
      <c r="D33">
        <v>5.6299599999999996</v>
      </c>
    </row>
    <row r="34" spans="1:4" x14ac:dyDescent="0.45">
      <c r="A34" t="s">
        <v>1</v>
      </c>
      <c r="B34">
        <v>2</v>
      </c>
      <c r="C34">
        <v>2</v>
      </c>
      <c r="D34">
        <v>5.89154</v>
      </c>
    </row>
    <row r="35" spans="1:4" x14ac:dyDescent="0.45">
      <c r="A35" t="s">
        <v>1</v>
      </c>
      <c r="B35">
        <v>2</v>
      </c>
      <c r="C35">
        <v>3</v>
      </c>
      <c r="D35">
        <v>4.8978599999999997</v>
      </c>
    </row>
    <row r="36" spans="1:4" x14ac:dyDescent="0.45">
      <c r="A36" t="s">
        <v>1</v>
      </c>
      <c r="B36">
        <v>2</v>
      </c>
      <c r="C36">
        <v>4</v>
      </c>
      <c r="D36">
        <v>5.0074100000000001</v>
      </c>
    </row>
    <row r="37" spans="1:4" x14ac:dyDescent="0.45">
      <c r="A37" t="s">
        <v>1</v>
      </c>
      <c r="B37">
        <v>2</v>
      </c>
      <c r="C37">
        <v>5</v>
      </c>
      <c r="D37">
        <v>4.9963199999999999</v>
      </c>
    </row>
    <row r="38" spans="1:4" x14ac:dyDescent="0.45">
      <c r="A38" t="s">
        <v>1</v>
      </c>
      <c r="B38">
        <v>2</v>
      </c>
      <c r="C38">
        <v>6</v>
      </c>
      <c r="D38">
        <v>6.2537099999999999</v>
      </c>
    </row>
    <row r="39" spans="1:4" x14ac:dyDescent="0.45">
      <c r="A39" t="s">
        <v>1</v>
      </c>
      <c r="B39">
        <v>2</v>
      </c>
      <c r="C39">
        <v>7</v>
      </c>
      <c r="D39">
        <v>5.4444699999999999</v>
      </c>
    </row>
    <row r="40" spans="1:4" x14ac:dyDescent="0.45">
      <c r="A40" t="s">
        <v>1</v>
      </c>
      <c r="B40">
        <v>2</v>
      </c>
      <c r="C40">
        <v>8</v>
      </c>
      <c r="D40">
        <v>5.5759699999999999</v>
      </c>
    </row>
    <row r="41" spans="1:4" x14ac:dyDescent="0.45">
      <c r="A41" t="s">
        <v>1</v>
      </c>
      <c r="B41">
        <v>2</v>
      </c>
      <c r="C41">
        <v>9</v>
      </c>
      <c r="D41">
        <v>4.7423200000000003</v>
      </c>
    </row>
    <row r="42" spans="1:4" x14ac:dyDescent="0.45">
      <c r="A42" t="s">
        <v>0</v>
      </c>
      <c r="B42">
        <v>4</v>
      </c>
      <c r="C42">
        <v>0</v>
      </c>
      <c r="D42">
        <v>4.6400499999999996</v>
      </c>
    </row>
    <row r="43" spans="1:4" x14ac:dyDescent="0.45">
      <c r="A43" t="s">
        <v>0</v>
      </c>
      <c r="B43">
        <v>4</v>
      </c>
      <c r="C43">
        <v>1</v>
      </c>
      <c r="D43">
        <v>4.7598500000000001</v>
      </c>
    </row>
    <row r="44" spans="1:4" x14ac:dyDescent="0.45">
      <c r="A44" t="s">
        <v>0</v>
      </c>
      <c r="B44">
        <v>4</v>
      </c>
      <c r="C44">
        <v>2</v>
      </c>
      <c r="D44">
        <v>5.0639599999999998</v>
      </c>
    </row>
    <row r="45" spans="1:4" x14ac:dyDescent="0.45">
      <c r="A45" t="s">
        <v>0</v>
      </c>
      <c r="B45">
        <v>4</v>
      </c>
      <c r="C45">
        <v>3</v>
      </c>
      <c r="D45">
        <v>4.4722600000000003</v>
      </c>
    </row>
    <row r="46" spans="1:4" x14ac:dyDescent="0.45">
      <c r="A46" t="s">
        <v>0</v>
      </c>
      <c r="B46">
        <v>4</v>
      </c>
      <c r="C46">
        <v>4</v>
      </c>
      <c r="D46">
        <v>5.6365100000000004</v>
      </c>
    </row>
    <row r="47" spans="1:4" x14ac:dyDescent="0.45">
      <c r="A47" t="s">
        <v>0</v>
      </c>
      <c r="B47">
        <v>4</v>
      </c>
      <c r="C47">
        <v>5</v>
      </c>
      <c r="D47">
        <v>5.2376199999999997</v>
      </c>
    </row>
    <row r="48" spans="1:4" x14ac:dyDescent="0.45">
      <c r="A48" t="s">
        <v>0</v>
      </c>
      <c r="B48">
        <v>4</v>
      </c>
      <c r="C48">
        <v>6</v>
      </c>
      <c r="D48">
        <v>5.0487399999999996</v>
      </c>
    </row>
    <row r="49" spans="1:4" x14ac:dyDescent="0.45">
      <c r="A49" t="s">
        <v>0</v>
      </c>
      <c r="B49">
        <v>4</v>
      </c>
      <c r="C49">
        <v>7</v>
      </c>
      <c r="D49">
        <v>4.3079700000000001</v>
      </c>
    </row>
    <row r="50" spans="1:4" x14ac:dyDescent="0.45">
      <c r="A50" t="s">
        <v>0</v>
      </c>
      <c r="B50">
        <v>4</v>
      </c>
      <c r="C50">
        <v>8</v>
      </c>
      <c r="D50">
        <v>5.3018900000000002</v>
      </c>
    </row>
    <row r="51" spans="1:4" x14ac:dyDescent="0.45">
      <c r="A51" t="s">
        <v>0</v>
      </c>
      <c r="B51">
        <v>4</v>
      </c>
      <c r="C51">
        <v>9</v>
      </c>
      <c r="D51">
        <v>4.0703500000000004</v>
      </c>
    </row>
    <row r="52" spans="1:4" x14ac:dyDescent="0.45">
      <c r="A52" t="s">
        <v>1</v>
      </c>
      <c r="B52">
        <v>4</v>
      </c>
      <c r="C52">
        <v>0</v>
      </c>
      <c r="D52">
        <v>3.6833100000000001</v>
      </c>
    </row>
    <row r="53" spans="1:4" x14ac:dyDescent="0.45">
      <c r="A53" t="s">
        <v>1</v>
      </c>
      <c r="B53">
        <v>4</v>
      </c>
      <c r="C53">
        <v>1</v>
      </c>
      <c r="D53">
        <v>4.39384</v>
      </c>
    </row>
    <row r="54" spans="1:4" x14ac:dyDescent="0.45">
      <c r="A54" t="s">
        <v>1</v>
      </c>
      <c r="B54">
        <v>4</v>
      </c>
      <c r="C54">
        <v>2</v>
      </c>
      <c r="D54">
        <v>4.9855499999999999</v>
      </c>
    </row>
    <row r="55" spans="1:4" x14ac:dyDescent="0.45">
      <c r="A55" t="s">
        <v>1</v>
      </c>
      <c r="B55">
        <v>4</v>
      </c>
      <c r="C55">
        <v>3</v>
      </c>
      <c r="D55">
        <v>4.2234600000000002</v>
      </c>
    </row>
    <row r="56" spans="1:4" x14ac:dyDescent="0.45">
      <c r="A56" t="s">
        <v>1</v>
      </c>
      <c r="B56">
        <v>4</v>
      </c>
      <c r="C56">
        <v>4</v>
      </c>
      <c r="D56">
        <v>4.9867299999999997</v>
      </c>
    </row>
    <row r="57" spans="1:4" x14ac:dyDescent="0.45">
      <c r="A57" t="s">
        <v>1</v>
      </c>
      <c r="B57">
        <v>4</v>
      </c>
      <c r="C57">
        <v>5</v>
      </c>
      <c r="D57">
        <v>4.4911599999999998</v>
      </c>
    </row>
    <row r="58" spans="1:4" x14ac:dyDescent="0.45">
      <c r="A58" t="s">
        <v>1</v>
      </c>
      <c r="B58">
        <v>4</v>
      </c>
      <c r="C58">
        <v>6</v>
      </c>
      <c r="D58">
        <v>3.5491799999999998</v>
      </c>
    </row>
    <row r="59" spans="1:4" x14ac:dyDescent="0.45">
      <c r="A59" t="s">
        <v>1</v>
      </c>
      <c r="B59">
        <v>4</v>
      </c>
      <c r="C59">
        <v>7</v>
      </c>
      <c r="D59">
        <v>4.8910200000000001</v>
      </c>
    </row>
    <row r="60" spans="1:4" x14ac:dyDescent="0.45">
      <c r="A60" t="s">
        <v>1</v>
      </c>
      <c r="B60">
        <v>4</v>
      </c>
      <c r="C60">
        <v>8</v>
      </c>
      <c r="D60">
        <v>3.52807</v>
      </c>
    </row>
    <row r="61" spans="1:4" x14ac:dyDescent="0.45">
      <c r="A61" t="s">
        <v>1</v>
      </c>
      <c r="B61">
        <v>4</v>
      </c>
      <c r="C61">
        <v>9</v>
      </c>
      <c r="D61">
        <v>5.4085000000000001</v>
      </c>
    </row>
    <row r="62" spans="1:4" x14ac:dyDescent="0.45">
      <c r="A62" t="s">
        <v>0</v>
      </c>
      <c r="B62">
        <v>8</v>
      </c>
      <c r="C62">
        <v>0</v>
      </c>
      <c r="D62">
        <v>3.3288000000000002</v>
      </c>
    </row>
    <row r="63" spans="1:4" x14ac:dyDescent="0.45">
      <c r="A63" t="s">
        <v>0</v>
      </c>
      <c r="B63">
        <v>8</v>
      </c>
      <c r="C63">
        <v>1</v>
      </c>
      <c r="D63">
        <v>3.8698399999999999</v>
      </c>
    </row>
    <row r="64" spans="1:4" x14ac:dyDescent="0.45">
      <c r="A64" t="s">
        <v>0</v>
      </c>
      <c r="B64">
        <v>8</v>
      </c>
      <c r="C64">
        <v>2</v>
      </c>
      <c r="D64">
        <v>2.9087000000000001</v>
      </c>
    </row>
    <row r="65" spans="1:4" x14ac:dyDescent="0.45">
      <c r="A65" t="s">
        <v>0</v>
      </c>
      <c r="B65">
        <v>8</v>
      </c>
      <c r="C65">
        <v>3</v>
      </c>
      <c r="D65">
        <v>2.8251499999999998</v>
      </c>
    </row>
    <row r="66" spans="1:4" x14ac:dyDescent="0.45">
      <c r="A66" t="s">
        <v>0</v>
      </c>
      <c r="B66">
        <v>8</v>
      </c>
      <c r="C66">
        <v>4</v>
      </c>
      <c r="D66">
        <v>4.2557799999999997</v>
      </c>
    </row>
    <row r="67" spans="1:4" x14ac:dyDescent="0.45">
      <c r="A67" t="s">
        <v>0</v>
      </c>
      <c r="B67">
        <v>8</v>
      </c>
      <c r="C67">
        <v>5</v>
      </c>
      <c r="D67">
        <v>3.6088900000000002</v>
      </c>
    </row>
    <row r="68" spans="1:4" x14ac:dyDescent="0.45">
      <c r="A68" t="s">
        <v>0</v>
      </c>
      <c r="B68">
        <v>8</v>
      </c>
      <c r="C68">
        <v>6</v>
      </c>
      <c r="D68">
        <v>4.2614400000000003</v>
      </c>
    </row>
    <row r="69" spans="1:4" x14ac:dyDescent="0.45">
      <c r="A69" t="s">
        <v>0</v>
      </c>
      <c r="B69">
        <v>8</v>
      </c>
      <c r="C69">
        <v>7</v>
      </c>
      <c r="D69">
        <v>2.58318</v>
      </c>
    </row>
    <row r="70" spans="1:4" x14ac:dyDescent="0.45">
      <c r="A70" t="s">
        <v>0</v>
      </c>
      <c r="B70">
        <v>8</v>
      </c>
      <c r="C70">
        <v>8</v>
      </c>
      <c r="D70">
        <v>3.8673999999999999</v>
      </c>
    </row>
    <row r="71" spans="1:4" x14ac:dyDescent="0.45">
      <c r="A71" t="s">
        <v>0</v>
      </c>
      <c r="B71">
        <v>8</v>
      </c>
      <c r="C71">
        <v>9</v>
      </c>
      <c r="D71">
        <v>3.44726</v>
      </c>
    </row>
    <row r="72" spans="1:4" x14ac:dyDescent="0.45">
      <c r="A72" t="s">
        <v>1</v>
      </c>
      <c r="B72">
        <v>8</v>
      </c>
      <c r="C72">
        <v>0</v>
      </c>
      <c r="D72">
        <v>4.8707399999999996</v>
      </c>
    </row>
    <row r="73" spans="1:4" x14ac:dyDescent="0.45">
      <c r="A73" t="s">
        <v>1</v>
      </c>
      <c r="B73">
        <v>8</v>
      </c>
      <c r="C73">
        <v>1</v>
      </c>
      <c r="D73">
        <v>3.0866099999999999</v>
      </c>
    </row>
    <row r="74" spans="1:4" x14ac:dyDescent="0.45">
      <c r="A74" t="s">
        <v>1</v>
      </c>
      <c r="B74">
        <v>8</v>
      </c>
      <c r="C74">
        <v>2</v>
      </c>
      <c r="D74">
        <v>3.5229599999999999</v>
      </c>
    </row>
    <row r="75" spans="1:4" x14ac:dyDescent="0.45">
      <c r="A75" t="s">
        <v>1</v>
      </c>
      <c r="B75">
        <v>8</v>
      </c>
      <c r="C75">
        <v>3</v>
      </c>
      <c r="D75">
        <v>3.3287499999999999</v>
      </c>
    </row>
    <row r="76" spans="1:4" x14ac:dyDescent="0.45">
      <c r="A76" t="s">
        <v>1</v>
      </c>
      <c r="B76">
        <v>8</v>
      </c>
      <c r="C76">
        <v>4</v>
      </c>
      <c r="D76">
        <v>3.73108</v>
      </c>
    </row>
    <row r="77" spans="1:4" x14ac:dyDescent="0.45">
      <c r="A77" t="s">
        <v>1</v>
      </c>
      <c r="B77">
        <v>8</v>
      </c>
      <c r="C77">
        <v>5</v>
      </c>
      <c r="D77">
        <v>4.4643100000000002</v>
      </c>
    </row>
    <row r="78" spans="1:4" x14ac:dyDescent="0.45">
      <c r="A78" t="s">
        <v>1</v>
      </c>
      <c r="B78">
        <v>8</v>
      </c>
      <c r="C78">
        <v>6</v>
      </c>
      <c r="D78">
        <v>2.9237700000000002</v>
      </c>
    </row>
    <row r="79" spans="1:4" x14ac:dyDescent="0.45">
      <c r="A79" t="s">
        <v>1</v>
      </c>
      <c r="B79">
        <v>8</v>
      </c>
      <c r="C79">
        <v>7</v>
      </c>
      <c r="D79">
        <v>3.49891</v>
      </c>
    </row>
    <row r="80" spans="1:4" x14ac:dyDescent="0.45">
      <c r="A80" t="s">
        <v>1</v>
      </c>
      <c r="B80">
        <v>8</v>
      </c>
      <c r="C80">
        <v>8</v>
      </c>
      <c r="D80">
        <v>3.6874600000000002</v>
      </c>
    </row>
    <row r="81" spans="1:4" x14ac:dyDescent="0.45">
      <c r="A81" t="s">
        <v>1</v>
      </c>
      <c r="B81">
        <v>8</v>
      </c>
      <c r="C81">
        <v>9</v>
      </c>
      <c r="D81">
        <v>3.5746500000000001</v>
      </c>
    </row>
    <row r="82" spans="1:4" x14ac:dyDescent="0.45">
      <c r="A82" t="s">
        <v>9</v>
      </c>
      <c r="B82">
        <v>1</v>
      </c>
      <c r="C82">
        <v>0</v>
      </c>
      <c r="D82">
        <v>7.2688699999999997</v>
      </c>
    </row>
    <row r="83" spans="1:4" x14ac:dyDescent="0.45">
      <c r="A83" t="s">
        <v>9</v>
      </c>
      <c r="B83">
        <v>1</v>
      </c>
      <c r="C83">
        <v>1</v>
      </c>
      <c r="D83">
        <v>7.2794400000000001</v>
      </c>
    </row>
    <row r="84" spans="1:4" x14ac:dyDescent="0.45">
      <c r="A84" t="s">
        <v>9</v>
      </c>
      <c r="B84">
        <v>1</v>
      </c>
      <c r="C84">
        <v>2</v>
      </c>
      <c r="D84">
        <v>7.2704899999999997</v>
      </c>
    </row>
    <row r="85" spans="1:4" x14ac:dyDescent="0.45">
      <c r="A85" t="s">
        <v>9</v>
      </c>
      <c r="B85">
        <v>1</v>
      </c>
      <c r="C85">
        <v>3</v>
      </c>
      <c r="D85">
        <v>7.2675700000000001</v>
      </c>
    </row>
    <row r="86" spans="1:4" x14ac:dyDescent="0.45">
      <c r="A86" t="s">
        <v>9</v>
      </c>
      <c r="B86">
        <v>1</v>
      </c>
      <c r="C86">
        <v>4</v>
      </c>
      <c r="D86">
        <v>7.2694799999999997</v>
      </c>
    </row>
    <row r="87" spans="1:4" x14ac:dyDescent="0.45">
      <c r="A87" t="s">
        <v>9</v>
      </c>
      <c r="B87">
        <v>1</v>
      </c>
      <c r="C87">
        <v>5</v>
      </c>
      <c r="D87">
        <v>7.4143800000000004</v>
      </c>
    </row>
    <row r="88" spans="1:4" x14ac:dyDescent="0.45">
      <c r="A88" t="s">
        <v>9</v>
      </c>
      <c r="B88">
        <v>1</v>
      </c>
      <c r="C88">
        <v>6</v>
      </c>
      <c r="D88">
        <v>7.2761399999999998</v>
      </c>
    </row>
    <row r="89" spans="1:4" x14ac:dyDescent="0.45">
      <c r="A89" t="s">
        <v>9</v>
      </c>
      <c r="B89">
        <v>1</v>
      </c>
      <c r="C89">
        <v>7</v>
      </c>
      <c r="D89">
        <v>7.2876799999999999</v>
      </c>
    </row>
    <row r="90" spans="1:4" x14ac:dyDescent="0.45">
      <c r="A90" t="s">
        <v>9</v>
      </c>
      <c r="B90">
        <v>1</v>
      </c>
      <c r="C90">
        <v>8</v>
      </c>
      <c r="D90">
        <v>7.2813699999999999</v>
      </c>
    </row>
    <row r="91" spans="1:4" x14ac:dyDescent="0.45">
      <c r="A91" t="s">
        <v>9</v>
      </c>
      <c r="B91">
        <v>1</v>
      </c>
      <c r="C91">
        <v>9</v>
      </c>
      <c r="D91">
        <v>7.2722600000000002</v>
      </c>
    </row>
    <row r="92" spans="1:4" x14ac:dyDescent="0.45">
      <c r="A92" t="s">
        <v>9</v>
      </c>
      <c r="B92">
        <v>2</v>
      </c>
      <c r="C92">
        <v>0</v>
      </c>
      <c r="D92">
        <v>3.6629900000000002</v>
      </c>
    </row>
    <row r="93" spans="1:4" x14ac:dyDescent="0.45">
      <c r="A93" t="s">
        <v>9</v>
      </c>
      <c r="B93">
        <v>2</v>
      </c>
      <c r="C93">
        <v>1</v>
      </c>
      <c r="D93">
        <v>4.3097099999999999</v>
      </c>
    </row>
    <row r="94" spans="1:4" x14ac:dyDescent="0.45">
      <c r="A94" t="s">
        <v>9</v>
      </c>
      <c r="B94">
        <v>2</v>
      </c>
      <c r="C94">
        <v>2</v>
      </c>
      <c r="D94">
        <v>3.7417500000000001</v>
      </c>
    </row>
    <row r="95" spans="1:4" x14ac:dyDescent="0.45">
      <c r="A95" t="s">
        <v>9</v>
      </c>
      <c r="B95">
        <v>2</v>
      </c>
      <c r="C95">
        <v>3</v>
      </c>
      <c r="D95">
        <v>3.4521700000000002</v>
      </c>
    </row>
    <row r="96" spans="1:4" x14ac:dyDescent="0.45">
      <c r="A96" t="s">
        <v>9</v>
      </c>
      <c r="B96">
        <v>2</v>
      </c>
      <c r="C96">
        <v>4</v>
      </c>
      <c r="D96">
        <v>3.5252300000000001</v>
      </c>
    </row>
    <row r="97" spans="1:4" x14ac:dyDescent="0.45">
      <c r="A97" t="s">
        <v>9</v>
      </c>
      <c r="B97">
        <v>2</v>
      </c>
      <c r="C97">
        <v>5</v>
      </c>
      <c r="D97">
        <v>4.79772</v>
      </c>
    </row>
    <row r="98" spans="1:4" x14ac:dyDescent="0.45">
      <c r="A98" t="s">
        <v>9</v>
      </c>
      <c r="B98">
        <v>2</v>
      </c>
      <c r="C98">
        <v>6</v>
      </c>
      <c r="D98">
        <v>4.3166000000000002</v>
      </c>
    </row>
    <row r="99" spans="1:4" x14ac:dyDescent="0.45">
      <c r="A99" t="s">
        <v>9</v>
      </c>
      <c r="B99">
        <v>2</v>
      </c>
      <c r="C99">
        <v>7</v>
      </c>
      <c r="D99">
        <v>5.1172000000000004</v>
      </c>
    </row>
    <row r="100" spans="1:4" x14ac:dyDescent="0.45">
      <c r="A100" t="s">
        <v>9</v>
      </c>
      <c r="B100">
        <v>2</v>
      </c>
      <c r="C100">
        <v>8</v>
      </c>
      <c r="D100">
        <v>5.2417199999999999</v>
      </c>
    </row>
    <row r="101" spans="1:4" x14ac:dyDescent="0.45">
      <c r="A101" t="s">
        <v>9</v>
      </c>
      <c r="B101">
        <v>2</v>
      </c>
      <c r="C101">
        <v>9</v>
      </c>
      <c r="D101">
        <v>4.8197900000000002</v>
      </c>
    </row>
    <row r="102" spans="1:4" x14ac:dyDescent="0.45">
      <c r="A102" t="s">
        <v>9</v>
      </c>
      <c r="B102">
        <v>4</v>
      </c>
      <c r="C102">
        <v>0</v>
      </c>
      <c r="D102">
        <v>3.1265499999999999</v>
      </c>
    </row>
    <row r="103" spans="1:4" x14ac:dyDescent="0.45">
      <c r="A103" t="s">
        <v>9</v>
      </c>
      <c r="B103">
        <v>4</v>
      </c>
      <c r="C103">
        <v>1</v>
      </c>
      <c r="D103">
        <v>2.7924600000000002</v>
      </c>
    </row>
    <row r="104" spans="1:4" x14ac:dyDescent="0.45">
      <c r="A104" t="s">
        <v>9</v>
      </c>
      <c r="B104">
        <v>4</v>
      </c>
      <c r="C104">
        <v>2</v>
      </c>
      <c r="D104">
        <v>3.8399700000000001</v>
      </c>
    </row>
    <row r="105" spans="1:4" x14ac:dyDescent="0.45">
      <c r="A105" t="s">
        <v>9</v>
      </c>
      <c r="B105">
        <v>4</v>
      </c>
      <c r="C105">
        <v>3</v>
      </c>
      <c r="D105">
        <v>3.2292000000000001</v>
      </c>
    </row>
    <row r="106" spans="1:4" x14ac:dyDescent="0.45">
      <c r="A106" t="s">
        <v>9</v>
      </c>
      <c r="B106">
        <v>4</v>
      </c>
      <c r="C106">
        <v>4</v>
      </c>
      <c r="D106">
        <v>2.9363100000000002</v>
      </c>
    </row>
    <row r="107" spans="1:4" x14ac:dyDescent="0.45">
      <c r="A107" t="s">
        <v>9</v>
      </c>
      <c r="B107">
        <v>4</v>
      </c>
      <c r="C107">
        <v>5</v>
      </c>
      <c r="D107">
        <v>2.9754499999999999</v>
      </c>
    </row>
    <row r="108" spans="1:4" x14ac:dyDescent="0.45">
      <c r="A108" t="s">
        <v>9</v>
      </c>
      <c r="B108">
        <v>4</v>
      </c>
      <c r="C108">
        <v>6</v>
      </c>
      <c r="D108">
        <v>2.9658500000000001</v>
      </c>
    </row>
    <row r="109" spans="1:4" x14ac:dyDescent="0.45">
      <c r="A109" t="s">
        <v>9</v>
      </c>
      <c r="B109">
        <v>4</v>
      </c>
      <c r="C109">
        <v>7</v>
      </c>
      <c r="D109">
        <v>2.7299000000000002</v>
      </c>
    </row>
    <row r="110" spans="1:4" x14ac:dyDescent="0.45">
      <c r="A110" t="s">
        <v>9</v>
      </c>
      <c r="B110">
        <v>4</v>
      </c>
      <c r="C110">
        <v>8</v>
      </c>
      <c r="D110">
        <v>2.5895999999999999</v>
      </c>
    </row>
    <row r="111" spans="1:4" x14ac:dyDescent="0.45">
      <c r="A111" t="s">
        <v>9</v>
      </c>
      <c r="B111">
        <v>4</v>
      </c>
      <c r="C111">
        <v>9</v>
      </c>
      <c r="D111">
        <v>3.1065299999999998</v>
      </c>
    </row>
    <row r="112" spans="1:4" x14ac:dyDescent="0.45">
      <c r="A112" t="s">
        <v>9</v>
      </c>
      <c r="B112">
        <v>8</v>
      </c>
      <c r="C112">
        <v>0</v>
      </c>
      <c r="D112">
        <v>6.8346400000000003</v>
      </c>
    </row>
    <row r="113" spans="1:4" x14ac:dyDescent="0.45">
      <c r="A113" t="s">
        <v>9</v>
      </c>
      <c r="B113">
        <v>8</v>
      </c>
      <c r="C113">
        <v>1</v>
      </c>
      <c r="D113">
        <v>5.5873600000000003</v>
      </c>
    </row>
    <row r="114" spans="1:4" x14ac:dyDescent="0.45">
      <c r="A114" t="s">
        <v>9</v>
      </c>
      <c r="B114">
        <v>8</v>
      </c>
      <c r="C114">
        <v>2</v>
      </c>
      <c r="D114">
        <v>4.9216300000000004</v>
      </c>
    </row>
    <row r="115" spans="1:4" x14ac:dyDescent="0.45">
      <c r="A115" t="s">
        <v>9</v>
      </c>
      <c r="B115">
        <v>8</v>
      </c>
      <c r="C115">
        <v>3</v>
      </c>
      <c r="D115">
        <v>7.0168900000000001</v>
      </c>
    </row>
    <row r="116" spans="1:4" x14ac:dyDescent="0.45">
      <c r="A116" t="s">
        <v>9</v>
      </c>
      <c r="B116">
        <v>8</v>
      </c>
      <c r="C116">
        <v>4</v>
      </c>
      <c r="D116">
        <v>4.5305099999999996</v>
      </c>
    </row>
    <row r="117" spans="1:4" x14ac:dyDescent="0.45">
      <c r="A117" t="s">
        <v>9</v>
      </c>
      <c r="B117">
        <v>8</v>
      </c>
      <c r="C117">
        <v>5</v>
      </c>
      <c r="D117">
        <v>7.8549600000000002</v>
      </c>
    </row>
    <row r="118" spans="1:4" x14ac:dyDescent="0.45">
      <c r="A118" t="s">
        <v>9</v>
      </c>
      <c r="B118">
        <v>8</v>
      </c>
      <c r="C118">
        <v>6</v>
      </c>
      <c r="D118">
        <v>5.4624300000000003</v>
      </c>
    </row>
    <row r="119" spans="1:4" x14ac:dyDescent="0.45">
      <c r="A119" t="s">
        <v>9</v>
      </c>
      <c r="B119">
        <v>8</v>
      </c>
      <c r="C119">
        <v>7</v>
      </c>
      <c r="D119">
        <v>5.2770099999999998</v>
      </c>
    </row>
    <row r="120" spans="1:4" x14ac:dyDescent="0.45">
      <c r="A120" t="s">
        <v>9</v>
      </c>
      <c r="B120">
        <v>8</v>
      </c>
      <c r="C120">
        <v>8</v>
      </c>
      <c r="D120">
        <v>6.9429400000000001</v>
      </c>
    </row>
    <row r="121" spans="1:4" x14ac:dyDescent="0.45">
      <c r="A121" t="s">
        <v>9</v>
      </c>
      <c r="B121">
        <v>8</v>
      </c>
      <c r="C121">
        <v>9</v>
      </c>
      <c r="D121">
        <v>5.4385500000000002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21"/>
  <sheetViews>
    <sheetView tabSelected="1" workbookViewId="0"/>
  </sheetViews>
  <sheetFormatPr defaultRowHeight="14.25" x14ac:dyDescent="0.45"/>
  <cols>
    <col min="13" max="13" width="12.06640625" customWidth="1"/>
    <col min="14" max="14" width="14.73046875" customWidth="1"/>
    <col min="15" max="15" width="6" customWidth="1"/>
    <col min="16" max="16" width="8.265625" customWidth="1"/>
    <col min="17" max="17" width="7.53125" customWidth="1"/>
    <col min="18" max="18" width="6.3984375" customWidth="1"/>
    <col min="19" max="19" width="10.19921875" bestFit="1" customWidth="1"/>
  </cols>
  <sheetData>
    <row r="1" spans="1:21" x14ac:dyDescent="0.45">
      <c r="A1" t="s">
        <v>10</v>
      </c>
      <c r="B1" t="s">
        <v>2</v>
      </c>
      <c r="C1" t="s">
        <v>3</v>
      </c>
      <c r="D1" t="s">
        <v>4</v>
      </c>
      <c r="E1" t="s">
        <v>5</v>
      </c>
      <c r="F1" t="s">
        <v>11</v>
      </c>
      <c r="G1" t="s">
        <v>341</v>
      </c>
      <c r="H1" t="s">
        <v>342</v>
      </c>
      <c r="I1" t="s">
        <v>344</v>
      </c>
      <c r="M1" s="1" t="s">
        <v>342</v>
      </c>
      <c r="N1" t="s">
        <v>343</v>
      </c>
      <c r="T1" t="s">
        <v>2</v>
      </c>
      <c r="U1" t="s">
        <v>344</v>
      </c>
    </row>
    <row r="2" spans="1:21" x14ac:dyDescent="0.45">
      <c r="A2" t="s">
        <v>12</v>
      </c>
      <c r="B2" t="s">
        <v>0</v>
      </c>
      <c r="C2">
        <v>1</v>
      </c>
      <c r="D2">
        <v>0</v>
      </c>
      <c r="E2">
        <v>30.5822</v>
      </c>
      <c r="F2" t="s">
        <v>13</v>
      </c>
      <c r="G2" t="str">
        <f>MID(F2,LastpositionOfChar(F2,"-")+1,LEN(F2)-LastpositionOfChar(F2,"-")-LEN(".out"))</f>
        <v>v32_r4096_n10_p40_i2_e8_s1_t</v>
      </c>
      <c r="H2" t="str">
        <f>A2&amp;" "&amp;G2</f>
        <v>bayes v32_r4096_n10_p40_i2_e8_s1_t</v>
      </c>
      <c r="I2" t="str">
        <f>VLOOKUP(B2,T$2:U$5,2,FALSE)</f>
        <v>TL2</v>
      </c>
      <c r="T2" t="s">
        <v>9</v>
      </c>
      <c r="U2" t="s">
        <v>345</v>
      </c>
    </row>
    <row r="3" spans="1:21" x14ac:dyDescent="0.45">
      <c r="A3" t="s">
        <v>12</v>
      </c>
      <c r="B3" t="s">
        <v>0</v>
      </c>
      <c r="C3">
        <v>2</v>
      </c>
      <c r="D3">
        <v>0</v>
      </c>
      <c r="E3">
        <v>50.6813</v>
      </c>
      <c r="F3" t="s">
        <v>14</v>
      </c>
      <c r="G3" t="str">
        <f>MID(F3,LastpositionOfChar(F3,"-")+1,LEN(F3)-LastpositionOfChar(F3,"-")-LEN(".out"))</f>
        <v>v32_r4096_n10_p40_i2_e8_s1_t</v>
      </c>
      <c r="H3" t="str">
        <f t="shared" ref="H3:H66" si="0">A3&amp;" "&amp;G3</f>
        <v>bayes v32_r4096_n10_p40_i2_e8_s1_t</v>
      </c>
      <c r="I3" t="str">
        <f t="shared" ref="I3:I66" si="1">VLOOKUP(B3,T$2:U$5,2,FALSE)</f>
        <v>TL2</v>
      </c>
      <c r="M3" s="1" t="s">
        <v>8</v>
      </c>
      <c r="N3" s="1" t="s">
        <v>7</v>
      </c>
      <c r="T3" t="s">
        <v>1</v>
      </c>
      <c r="U3" t="s">
        <v>346</v>
      </c>
    </row>
    <row r="4" spans="1:21" x14ac:dyDescent="0.45">
      <c r="A4" t="s">
        <v>12</v>
      </c>
      <c r="B4" t="s">
        <v>0</v>
      </c>
      <c r="C4">
        <v>4</v>
      </c>
      <c r="D4">
        <v>0</v>
      </c>
      <c r="E4">
        <v>36.145299999999999</v>
      </c>
      <c r="F4" t="s">
        <v>15</v>
      </c>
      <c r="G4" t="str">
        <f>MID(F4,LastpositionOfChar(F4,"-")+1,LEN(F4)-LastpositionOfChar(F4,"-")-LEN(".out"))</f>
        <v>v32_r4096_n10_p40_i2_e8_s1_t</v>
      </c>
      <c r="H4" t="str">
        <f t="shared" si="0"/>
        <v>bayes v32_r4096_n10_p40_i2_e8_s1_t</v>
      </c>
      <c r="I4" t="str">
        <f t="shared" si="1"/>
        <v>TL2</v>
      </c>
      <c r="M4" s="1" t="s">
        <v>6</v>
      </c>
      <c r="N4" t="s">
        <v>346</v>
      </c>
      <c r="O4" t="s">
        <v>347</v>
      </c>
      <c r="P4" t="s">
        <v>348</v>
      </c>
      <c r="Q4" t="s">
        <v>345</v>
      </c>
      <c r="T4" t="s">
        <v>140</v>
      </c>
      <c r="U4" t="s">
        <v>347</v>
      </c>
    </row>
    <row r="5" spans="1:21" x14ac:dyDescent="0.45">
      <c r="A5" t="s">
        <v>12</v>
      </c>
      <c r="B5" t="s">
        <v>0</v>
      </c>
      <c r="C5">
        <v>8</v>
      </c>
      <c r="D5">
        <v>0</v>
      </c>
      <c r="E5">
        <v>56.406199999999998</v>
      </c>
      <c r="F5" t="s">
        <v>16</v>
      </c>
      <c r="G5" t="str">
        <f>MID(F5,LastpositionOfChar(F5,"-")+1,LEN(F5)-LastpositionOfChar(F5,"-")-LEN(".out"))</f>
        <v>v32_r4096_n10_p40_i2_e8_s1_t</v>
      </c>
      <c r="H5" t="str">
        <f t="shared" si="0"/>
        <v>bayes v32_r4096_n10_p40_i2_e8_s1_t</v>
      </c>
      <c r="I5" t="str">
        <f t="shared" si="1"/>
        <v>TL2</v>
      </c>
      <c r="M5" s="2">
        <v>1</v>
      </c>
      <c r="N5" s="3">
        <v>12.1915675</v>
      </c>
      <c r="O5" s="3">
        <v>12.2788795</v>
      </c>
      <c r="P5" s="3">
        <v>14.4518635</v>
      </c>
      <c r="Q5" s="3">
        <v>10.905332</v>
      </c>
      <c r="T5" t="s">
        <v>0</v>
      </c>
      <c r="U5" t="s">
        <v>348</v>
      </c>
    </row>
    <row r="6" spans="1:21" x14ac:dyDescent="0.45">
      <c r="A6" t="s">
        <v>17</v>
      </c>
      <c r="B6" t="s">
        <v>0</v>
      </c>
      <c r="C6">
        <v>1</v>
      </c>
      <c r="D6">
        <v>0</v>
      </c>
      <c r="E6">
        <v>5.7860579999999997</v>
      </c>
      <c r="F6" t="s">
        <v>18</v>
      </c>
      <c r="G6" t="str">
        <f>MID(F6,LastpositionOfChar(F6,"-")+1,LEN(F6)-LastpositionOfChar(F6,"-")-LEN(".out"))</f>
        <v>g16384_s64_n16777216_t</v>
      </c>
      <c r="H6" t="str">
        <f t="shared" si="0"/>
        <v>genome g16384_s64_n16777216_t</v>
      </c>
      <c r="I6" t="str">
        <f t="shared" si="1"/>
        <v>TL2</v>
      </c>
      <c r="M6" s="2">
        <v>2</v>
      </c>
      <c r="N6" s="3">
        <v>14.4236305</v>
      </c>
      <c r="O6" s="3">
        <v>12.537748499999999</v>
      </c>
      <c r="P6" s="3">
        <v>13.452712</v>
      </c>
      <c r="Q6" s="3">
        <v>11.604476500000001</v>
      </c>
    </row>
    <row r="7" spans="1:21" x14ac:dyDescent="0.45">
      <c r="A7" t="s">
        <v>17</v>
      </c>
      <c r="B7" t="s">
        <v>0</v>
      </c>
      <c r="C7">
        <v>2</v>
      </c>
      <c r="D7">
        <v>0</v>
      </c>
      <c r="E7">
        <v>5.3717969999999999</v>
      </c>
      <c r="F7" t="s">
        <v>19</v>
      </c>
      <c r="G7" t="str">
        <f>MID(F7,LastpositionOfChar(F7,"-")+1,LEN(F7)-LastpositionOfChar(F7,"-")-LEN(".out"))</f>
        <v>g16384_s64_n16777216_t</v>
      </c>
      <c r="H7" t="str">
        <f t="shared" si="0"/>
        <v>genome g16384_s64_n16777216_t</v>
      </c>
      <c r="I7" t="str">
        <f t="shared" si="1"/>
        <v>TL2</v>
      </c>
      <c r="M7" s="2">
        <v>4</v>
      </c>
      <c r="N7" s="3">
        <v>13.847765500000001</v>
      </c>
      <c r="O7" s="3">
        <v>11.257486</v>
      </c>
      <c r="P7" s="3">
        <v>12.140284000000001</v>
      </c>
      <c r="Q7" s="3">
        <v>10.694382000000001</v>
      </c>
    </row>
    <row r="8" spans="1:21" x14ac:dyDescent="0.45">
      <c r="A8" t="s">
        <v>17</v>
      </c>
      <c r="B8" t="s">
        <v>0</v>
      </c>
      <c r="C8">
        <v>4</v>
      </c>
      <c r="D8">
        <v>0</v>
      </c>
      <c r="E8">
        <v>4.7218299999999997</v>
      </c>
      <c r="F8" t="s">
        <v>20</v>
      </c>
      <c r="G8" t="str">
        <f>MID(F8,LastpositionOfChar(F8,"-")+1,LEN(F8)-LastpositionOfChar(F8,"-")-LEN(".out"))</f>
        <v>g16384_s64_n16777216_t</v>
      </c>
      <c r="H8" t="str">
        <f t="shared" si="0"/>
        <v>genome g16384_s64_n16777216_t</v>
      </c>
      <c r="I8" t="str">
        <f t="shared" si="1"/>
        <v>TL2</v>
      </c>
      <c r="M8" s="2">
        <v>8</v>
      </c>
      <c r="N8" s="3">
        <v>13.367066999999999</v>
      </c>
      <c r="O8" s="3">
        <v>10.703139500000001</v>
      </c>
      <c r="P8" s="3">
        <v>11.018017499999999</v>
      </c>
      <c r="Q8" s="3">
        <v>10.4026725</v>
      </c>
    </row>
    <row r="9" spans="1:21" x14ac:dyDescent="0.45">
      <c r="A9" t="s">
        <v>17</v>
      </c>
      <c r="B9" t="s">
        <v>0</v>
      </c>
      <c r="C9">
        <v>8</v>
      </c>
      <c r="D9">
        <v>0</v>
      </c>
      <c r="E9">
        <v>4.5311950000000003</v>
      </c>
      <c r="F9" t="s">
        <v>21</v>
      </c>
      <c r="G9" t="str">
        <f>MID(F9,LastpositionOfChar(F9,"-")+1,LEN(F9)-LastpositionOfChar(F9,"-")-LEN(".out"))</f>
        <v>g16384_s64_n16777216_t</v>
      </c>
      <c r="H9" t="str">
        <f t="shared" si="0"/>
        <v>genome g16384_s64_n16777216_t</v>
      </c>
      <c r="I9" t="str">
        <f t="shared" si="1"/>
        <v>TL2</v>
      </c>
    </row>
    <row r="10" spans="1:21" x14ac:dyDescent="0.45">
      <c r="A10" t="s">
        <v>22</v>
      </c>
      <c r="B10" t="s">
        <v>0</v>
      </c>
      <c r="C10">
        <v>1</v>
      </c>
      <c r="D10">
        <v>0</v>
      </c>
      <c r="E10">
        <v>18.158387000000001</v>
      </c>
      <c r="F10" t="s">
        <v>23</v>
      </c>
      <c r="G10" t="str">
        <f>MID(F10,LastpositionOfChar(F10,"-")+1,LEN(F10)-LastpositionOfChar(F10,"-")-LEN(".out"))</f>
        <v>a10_l128_n262144_s1_t</v>
      </c>
      <c r="H10" t="str">
        <f t="shared" si="0"/>
        <v>intruder a10_l128_n262144_s1_t</v>
      </c>
      <c r="I10" t="str">
        <f t="shared" si="1"/>
        <v>TL2</v>
      </c>
    </row>
    <row r="11" spans="1:21" x14ac:dyDescent="0.45">
      <c r="A11" t="s">
        <v>22</v>
      </c>
      <c r="B11" t="s">
        <v>0</v>
      </c>
      <c r="C11">
        <v>2</v>
      </c>
      <c r="D11">
        <v>0</v>
      </c>
      <c r="E11">
        <v>18.101195000000001</v>
      </c>
      <c r="F11" t="s">
        <v>24</v>
      </c>
      <c r="G11" t="str">
        <f>MID(F11,LastpositionOfChar(F11,"-")+1,LEN(F11)-LastpositionOfChar(F11,"-")-LEN(".out"))</f>
        <v>a10_l128_n262144_s1_t</v>
      </c>
      <c r="H11" t="str">
        <f t="shared" si="0"/>
        <v>intruder a10_l128_n262144_s1_t</v>
      </c>
      <c r="I11" t="str">
        <f t="shared" si="1"/>
        <v>TL2</v>
      </c>
    </row>
    <row r="12" spans="1:21" x14ac:dyDescent="0.45">
      <c r="A12" t="s">
        <v>22</v>
      </c>
      <c r="B12" t="s">
        <v>0</v>
      </c>
      <c r="C12">
        <v>4</v>
      </c>
      <c r="D12">
        <v>0</v>
      </c>
      <c r="E12">
        <v>16.473801999999999</v>
      </c>
      <c r="F12" t="s">
        <v>25</v>
      </c>
      <c r="G12" t="str">
        <f>MID(F12,LastpositionOfChar(F12,"-")+1,LEN(F12)-LastpositionOfChar(F12,"-")-LEN(".out"))</f>
        <v>a10_l128_n262144_s1_t</v>
      </c>
      <c r="H12" t="str">
        <f t="shared" si="0"/>
        <v>intruder a10_l128_n262144_s1_t</v>
      </c>
      <c r="I12" t="str">
        <f t="shared" si="1"/>
        <v>TL2</v>
      </c>
    </row>
    <row r="13" spans="1:21" x14ac:dyDescent="0.45">
      <c r="A13" t="s">
        <v>22</v>
      </c>
      <c r="B13" t="s">
        <v>0</v>
      </c>
      <c r="C13">
        <v>8</v>
      </c>
      <c r="D13">
        <v>0</v>
      </c>
      <c r="E13">
        <v>20.078002000000001</v>
      </c>
      <c r="F13" t="s">
        <v>26</v>
      </c>
      <c r="G13" t="str">
        <f>MID(F13,LastpositionOfChar(F13,"-")+1,LEN(F13)-LastpositionOfChar(F13,"-")-LEN(".out"))</f>
        <v>a10_l128_n262144_s1_t</v>
      </c>
      <c r="H13" t="str">
        <f t="shared" si="0"/>
        <v>intruder a10_l128_n262144_s1_t</v>
      </c>
      <c r="I13" t="str">
        <f t="shared" si="1"/>
        <v>TL2</v>
      </c>
    </row>
    <row r="14" spans="1:21" x14ac:dyDescent="0.45">
      <c r="A14" t="s">
        <v>27</v>
      </c>
      <c r="B14" t="s">
        <v>0</v>
      </c>
      <c r="C14">
        <v>1</v>
      </c>
      <c r="D14">
        <v>0</v>
      </c>
      <c r="E14">
        <v>15.0183</v>
      </c>
      <c r="F14" t="s">
        <v>28</v>
      </c>
      <c r="G14" t="str">
        <f>MID(F14,LastpositionOfChar(F14,"-")+1,LEN(F14)-LastpositionOfChar(F14,"-")-LEN(".out"))</f>
        <v>m40_n40_t0</v>
      </c>
      <c r="H14" t="str">
        <f t="shared" si="0"/>
        <v>kmeans m40_n40_t0</v>
      </c>
      <c r="I14" t="str">
        <f t="shared" si="1"/>
        <v>TL2</v>
      </c>
    </row>
    <row r="15" spans="1:21" x14ac:dyDescent="0.45">
      <c r="A15" t="s">
        <v>27</v>
      </c>
      <c r="B15" t="s">
        <v>0</v>
      </c>
      <c r="C15">
        <v>2</v>
      </c>
      <c r="D15">
        <v>0</v>
      </c>
      <c r="E15">
        <v>8.1325800000000008</v>
      </c>
      <c r="F15" t="s">
        <v>29</v>
      </c>
      <c r="G15" t="str">
        <f>MID(F15,LastpositionOfChar(F15,"-")+1,LEN(F15)-LastpositionOfChar(F15,"-")-LEN(".out"))</f>
        <v>m40_n40_t0</v>
      </c>
      <c r="H15" t="str">
        <f t="shared" si="0"/>
        <v>kmeans m40_n40_t0</v>
      </c>
      <c r="I15" t="str">
        <f t="shared" si="1"/>
        <v>TL2</v>
      </c>
    </row>
    <row r="16" spans="1:21" x14ac:dyDescent="0.45">
      <c r="A16" t="s">
        <v>27</v>
      </c>
      <c r="B16" t="s">
        <v>0</v>
      </c>
      <c r="C16">
        <v>4</v>
      </c>
      <c r="D16">
        <v>0</v>
      </c>
      <c r="E16">
        <v>4.6966900000000003</v>
      </c>
      <c r="F16" t="s">
        <v>30</v>
      </c>
      <c r="G16" t="str">
        <f>MID(F16,LastpositionOfChar(F16,"-")+1,LEN(F16)-LastpositionOfChar(F16,"-")-LEN(".out"))</f>
        <v>m40_n40_t0</v>
      </c>
      <c r="H16" t="str">
        <f t="shared" si="0"/>
        <v>kmeans m40_n40_t0</v>
      </c>
      <c r="I16" t="str">
        <f t="shared" si="1"/>
        <v>TL2</v>
      </c>
    </row>
    <row r="17" spans="1:9" x14ac:dyDescent="0.45">
      <c r="A17" t="s">
        <v>27</v>
      </c>
      <c r="B17" t="s">
        <v>0</v>
      </c>
      <c r="C17">
        <v>8</v>
      </c>
      <c r="D17">
        <v>0</v>
      </c>
      <c r="E17">
        <v>2.9496099999999998</v>
      </c>
      <c r="F17" t="s">
        <v>31</v>
      </c>
      <c r="G17" t="str">
        <f>MID(F17,LastpositionOfChar(F17,"-")+1,LEN(F17)-LastpositionOfChar(F17,"-")-LEN(".out"))</f>
        <v>m40_n40_t0</v>
      </c>
      <c r="H17" t="str">
        <f t="shared" si="0"/>
        <v>kmeans m40_n40_t0</v>
      </c>
      <c r="I17" t="str">
        <f t="shared" si="1"/>
        <v>TL2</v>
      </c>
    </row>
    <row r="18" spans="1:9" x14ac:dyDescent="0.45">
      <c r="A18" t="s">
        <v>27</v>
      </c>
      <c r="B18" t="s">
        <v>0</v>
      </c>
      <c r="C18">
        <v>1</v>
      </c>
      <c r="D18">
        <v>0</v>
      </c>
      <c r="E18">
        <v>4.5855800000000002</v>
      </c>
      <c r="F18" t="s">
        <v>32</v>
      </c>
      <c r="G18" t="str">
        <f>MID(F18,LastpositionOfChar(F18,"-")+1,LEN(F18)-LastpositionOfChar(F18,"-")-LEN(".out"))</f>
        <v>m15_n15_t0</v>
      </c>
      <c r="H18" t="str">
        <f t="shared" si="0"/>
        <v>kmeans m15_n15_t0</v>
      </c>
      <c r="I18" t="str">
        <f t="shared" si="1"/>
        <v>TL2</v>
      </c>
    </row>
    <row r="19" spans="1:9" x14ac:dyDescent="0.45">
      <c r="A19" t="s">
        <v>27</v>
      </c>
      <c r="B19" t="s">
        <v>0</v>
      </c>
      <c r="C19">
        <v>2</v>
      </c>
      <c r="D19">
        <v>0</v>
      </c>
      <c r="E19">
        <v>2.4364699999999999</v>
      </c>
      <c r="F19" t="s">
        <v>33</v>
      </c>
      <c r="G19" t="str">
        <f>MID(F19,LastpositionOfChar(F19,"-")+1,LEN(F19)-LastpositionOfChar(F19,"-")-LEN(".out"))</f>
        <v>m15_n15_t0</v>
      </c>
      <c r="H19" t="str">
        <f t="shared" si="0"/>
        <v>kmeans m15_n15_t0</v>
      </c>
      <c r="I19" t="str">
        <f t="shared" si="1"/>
        <v>TL2</v>
      </c>
    </row>
    <row r="20" spans="1:9" x14ac:dyDescent="0.45">
      <c r="A20" t="s">
        <v>27</v>
      </c>
      <c r="B20" t="s">
        <v>0</v>
      </c>
      <c r="C20">
        <v>4</v>
      </c>
      <c r="D20">
        <v>0</v>
      </c>
      <c r="E20">
        <v>1.43997</v>
      </c>
      <c r="F20" t="s">
        <v>34</v>
      </c>
      <c r="G20" t="str">
        <f>MID(F20,LastpositionOfChar(F20,"-")+1,LEN(F20)-LastpositionOfChar(F20,"-")-LEN(".out"))</f>
        <v>m15_n15_t0</v>
      </c>
      <c r="H20" t="str">
        <f t="shared" si="0"/>
        <v>kmeans m15_n15_t0</v>
      </c>
      <c r="I20" t="str">
        <f t="shared" si="1"/>
        <v>TL2</v>
      </c>
    </row>
    <row r="21" spans="1:9" x14ac:dyDescent="0.45">
      <c r="A21" t="s">
        <v>27</v>
      </c>
      <c r="B21" t="s">
        <v>0</v>
      </c>
      <c r="C21">
        <v>8</v>
      </c>
      <c r="D21">
        <v>0</v>
      </c>
      <c r="E21">
        <v>1.24637</v>
      </c>
      <c r="F21" t="s">
        <v>35</v>
      </c>
      <c r="G21" t="str">
        <f>MID(F21,LastpositionOfChar(F21,"-")+1,LEN(F21)-LastpositionOfChar(F21,"-")-LEN(".out"))</f>
        <v>m15_n15_t0</v>
      </c>
      <c r="H21" t="str">
        <f t="shared" si="0"/>
        <v>kmeans m15_n15_t0</v>
      </c>
      <c r="I21" t="str">
        <f t="shared" si="1"/>
        <v>TL2</v>
      </c>
    </row>
    <row r="22" spans="1:9" x14ac:dyDescent="0.45">
      <c r="A22" t="s">
        <v>36</v>
      </c>
      <c r="B22" t="s">
        <v>0</v>
      </c>
      <c r="C22">
        <v>1</v>
      </c>
      <c r="D22">
        <v>0</v>
      </c>
      <c r="E22">
        <v>65.495026999999993</v>
      </c>
      <c r="F22" t="s">
        <v>37</v>
      </c>
      <c r="G22" t="str">
        <f>MID(F22,LastpositionOfChar(F22,"-")+1,LEN(F22)-LastpositionOfChar(F22,"-")-LEN(".out"))</f>
        <v>i_</v>
      </c>
      <c r="H22" t="str">
        <f t="shared" si="0"/>
        <v>labyrinth i_</v>
      </c>
      <c r="I22" t="str">
        <f t="shared" si="1"/>
        <v>TL2</v>
      </c>
    </row>
    <row r="23" spans="1:9" x14ac:dyDescent="0.45">
      <c r="A23" t="s">
        <v>36</v>
      </c>
      <c r="B23" t="s">
        <v>0</v>
      </c>
      <c r="C23">
        <v>2</v>
      </c>
      <c r="D23">
        <v>0</v>
      </c>
      <c r="E23">
        <v>207.01949200000001</v>
      </c>
      <c r="F23" t="s">
        <v>38</v>
      </c>
      <c r="G23" t="str">
        <f>MID(F23,LastpositionOfChar(F23,"-")+1,LEN(F23)-LastpositionOfChar(F23,"-")-LEN(".out"))</f>
        <v>i_</v>
      </c>
      <c r="H23" t="str">
        <f t="shared" si="0"/>
        <v>labyrinth i_</v>
      </c>
      <c r="I23" t="str">
        <f t="shared" si="1"/>
        <v>TL2</v>
      </c>
    </row>
    <row r="24" spans="1:9" x14ac:dyDescent="0.45">
      <c r="A24" t="s">
        <v>36</v>
      </c>
      <c r="B24" t="s">
        <v>0</v>
      </c>
      <c r="C24">
        <v>4</v>
      </c>
      <c r="D24">
        <v>0</v>
      </c>
      <c r="E24">
        <v>234.331715</v>
      </c>
      <c r="F24" t="s">
        <v>39</v>
      </c>
      <c r="G24" t="str">
        <f>MID(F24,LastpositionOfChar(F24,"-")+1,LEN(F24)-LastpositionOfChar(F24,"-")-LEN(".out"))</f>
        <v>i_</v>
      </c>
      <c r="H24" t="str">
        <f t="shared" si="0"/>
        <v>labyrinth i_</v>
      </c>
      <c r="I24" t="str">
        <f t="shared" si="1"/>
        <v>TL2</v>
      </c>
    </row>
    <row r="25" spans="1:9" x14ac:dyDescent="0.45">
      <c r="A25" t="s">
        <v>36</v>
      </c>
      <c r="B25" t="s">
        <v>0</v>
      </c>
      <c r="C25">
        <v>8</v>
      </c>
      <c r="D25">
        <v>0</v>
      </c>
      <c r="E25">
        <v>226.394879</v>
      </c>
      <c r="F25" t="s">
        <v>40</v>
      </c>
      <c r="G25" t="str">
        <f>MID(F25,LastpositionOfChar(F25,"-")+1,LEN(F25)-LastpositionOfChar(F25,"-")-LEN(".out"))</f>
        <v>i_</v>
      </c>
      <c r="H25" t="str">
        <f t="shared" si="0"/>
        <v>labyrinth i_</v>
      </c>
      <c r="I25" t="str">
        <f t="shared" si="1"/>
        <v>TL2</v>
      </c>
    </row>
    <row r="26" spans="1:9" x14ac:dyDescent="0.45">
      <c r="A26" t="s">
        <v>41</v>
      </c>
      <c r="B26" t="s">
        <v>0</v>
      </c>
      <c r="C26">
        <v>1</v>
      </c>
      <c r="D26">
        <v>0</v>
      </c>
      <c r="E26">
        <v>14.554252</v>
      </c>
      <c r="F26" t="s">
        <v>42</v>
      </c>
      <c r="G26" t="str">
        <f>MID(F26,LastpositionOfChar(F26,"-")+1,LEN(F26)-LastpositionOfChar(F26,"-")-LEN(".out"))</f>
        <v>s20_i1</v>
      </c>
      <c r="H26" t="str">
        <f t="shared" si="0"/>
        <v>ssca2 s20_i1</v>
      </c>
      <c r="I26" t="str">
        <f t="shared" si="1"/>
        <v>TL2</v>
      </c>
    </row>
    <row r="27" spans="1:9" x14ac:dyDescent="0.45">
      <c r="A27" t="s">
        <v>41</v>
      </c>
      <c r="B27" t="s">
        <v>0</v>
      </c>
      <c r="C27">
        <v>2</v>
      </c>
      <c r="D27">
        <v>0</v>
      </c>
      <c r="E27">
        <v>13.481023</v>
      </c>
      <c r="F27" t="s">
        <v>43</v>
      </c>
      <c r="G27" t="str">
        <f>MID(F27,LastpositionOfChar(F27,"-")+1,LEN(F27)-LastpositionOfChar(F27,"-")-LEN(".out"))</f>
        <v>s20_i1</v>
      </c>
      <c r="H27" t="str">
        <f t="shared" si="0"/>
        <v>ssca2 s20_i1</v>
      </c>
      <c r="I27" t="str">
        <f t="shared" si="1"/>
        <v>TL2</v>
      </c>
    </row>
    <row r="28" spans="1:9" x14ac:dyDescent="0.45">
      <c r="A28" t="s">
        <v>41</v>
      </c>
      <c r="B28" t="s">
        <v>0</v>
      </c>
      <c r="C28">
        <v>4</v>
      </c>
      <c r="D28">
        <v>0</v>
      </c>
      <c r="E28">
        <v>12.138092</v>
      </c>
      <c r="F28" t="s">
        <v>44</v>
      </c>
      <c r="G28" t="str">
        <f>MID(F28,LastpositionOfChar(F28,"-")+1,LEN(F28)-LastpositionOfChar(F28,"-")-LEN(".out"))</f>
        <v>s20_i1</v>
      </c>
      <c r="H28" t="str">
        <f t="shared" si="0"/>
        <v>ssca2 s20_i1</v>
      </c>
      <c r="I28" t="str">
        <f t="shared" si="1"/>
        <v>TL2</v>
      </c>
    </row>
    <row r="29" spans="1:9" x14ac:dyDescent="0.45">
      <c r="A29" t="s">
        <v>41</v>
      </c>
      <c r="B29" t="s">
        <v>0</v>
      </c>
      <c r="C29">
        <v>8</v>
      </c>
      <c r="D29">
        <v>0</v>
      </c>
      <c r="E29">
        <v>10.992488</v>
      </c>
      <c r="F29" t="s">
        <v>45</v>
      </c>
      <c r="G29" t="str">
        <f>MID(F29,LastpositionOfChar(F29,"-")+1,LEN(F29)-LastpositionOfChar(F29,"-")-LEN(".out"))</f>
        <v>s20_i1</v>
      </c>
      <c r="H29" t="str">
        <f t="shared" si="0"/>
        <v>ssca2 s20_i1</v>
      </c>
      <c r="I29" t="str">
        <f t="shared" si="1"/>
        <v>TL2</v>
      </c>
    </row>
    <row r="30" spans="1:9" x14ac:dyDescent="0.45">
      <c r="A30" t="s">
        <v>46</v>
      </c>
      <c r="B30" t="s">
        <v>0</v>
      </c>
      <c r="C30">
        <v>1</v>
      </c>
      <c r="D30">
        <v>0</v>
      </c>
      <c r="E30">
        <v>25.324332999999999</v>
      </c>
      <c r="F30" t="s">
        <v>47</v>
      </c>
      <c r="G30" t="str">
        <f>MID(F30,LastpositionOfChar(F30,"-")+1,LEN(F30)-LastpositionOfChar(F30,"-")-LEN(".out"))</f>
        <v>n2_q90_u98_r1048576_t4194304_c</v>
      </c>
      <c r="H30" t="str">
        <f t="shared" si="0"/>
        <v>vacation n2_q90_u98_r1048576_t4194304_c</v>
      </c>
      <c r="I30" t="str">
        <f t="shared" si="1"/>
        <v>TL2</v>
      </c>
    </row>
    <row r="31" spans="1:9" x14ac:dyDescent="0.45">
      <c r="A31" t="s">
        <v>46</v>
      </c>
      <c r="B31" t="s">
        <v>0</v>
      </c>
      <c r="C31">
        <v>2</v>
      </c>
      <c r="D31">
        <v>0</v>
      </c>
      <c r="E31">
        <v>25.596685999999998</v>
      </c>
      <c r="F31" t="s">
        <v>48</v>
      </c>
      <c r="G31" t="str">
        <f>MID(F31,LastpositionOfChar(F31,"-")+1,LEN(F31)-LastpositionOfChar(F31,"-")-LEN(".out"))</f>
        <v>n2_q90_u98_r1048576_t4194304_c</v>
      </c>
      <c r="H31" t="str">
        <f t="shared" si="0"/>
        <v>vacation n2_q90_u98_r1048576_t4194304_c</v>
      </c>
      <c r="I31" t="str">
        <f t="shared" si="1"/>
        <v>TL2</v>
      </c>
    </row>
    <row r="32" spans="1:9" x14ac:dyDescent="0.45">
      <c r="A32" t="s">
        <v>46</v>
      </c>
      <c r="B32" t="s">
        <v>0</v>
      </c>
      <c r="C32">
        <v>4</v>
      </c>
      <c r="D32">
        <v>0</v>
      </c>
      <c r="E32">
        <v>19.124502</v>
      </c>
      <c r="F32" t="s">
        <v>49</v>
      </c>
      <c r="G32" t="str">
        <f>MID(F32,LastpositionOfChar(F32,"-")+1,LEN(F32)-LastpositionOfChar(F32,"-")-LEN(".out"))</f>
        <v>n2_q90_u98_r1048576_t4194304_c</v>
      </c>
      <c r="H32" t="str">
        <f t="shared" si="0"/>
        <v>vacation n2_q90_u98_r1048576_t4194304_c</v>
      </c>
      <c r="I32" t="str">
        <f t="shared" si="1"/>
        <v>TL2</v>
      </c>
    </row>
    <row r="33" spans="1:9" x14ac:dyDescent="0.45">
      <c r="A33" t="s">
        <v>46</v>
      </c>
      <c r="B33" t="s">
        <v>0</v>
      </c>
      <c r="C33">
        <v>8</v>
      </c>
      <c r="D33">
        <v>0</v>
      </c>
      <c r="E33">
        <v>14.658058</v>
      </c>
      <c r="F33" t="s">
        <v>50</v>
      </c>
      <c r="G33" t="str">
        <f>MID(F33,LastpositionOfChar(F33,"-")+1,LEN(F33)-LastpositionOfChar(F33,"-")-LEN(".out"))</f>
        <v>n2_q90_u98_r1048576_t4194304_c</v>
      </c>
      <c r="H33" t="str">
        <f t="shared" si="0"/>
        <v>vacation n2_q90_u98_r1048576_t4194304_c</v>
      </c>
      <c r="I33" t="str">
        <f t="shared" si="1"/>
        <v>TL2</v>
      </c>
    </row>
    <row r="34" spans="1:9" x14ac:dyDescent="0.45">
      <c r="A34" t="s">
        <v>46</v>
      </c>
      <c r="B34" t="s">
        <v>0</v>
      </c>
      <c r="C34">
        <v>1</v>
      </c>
      <c r="D34">
        <v>0</v>
      </c>
      <c r="E34">
        <v>39.188133000000001</v>
      </c>
      <c r="F34" t="s">
        <v>51</v>
      </c>
      <c r="G34" t="str">
        <f>MID(F34,LastpositionOfChar(F34,"-")+1,LEN(F34)-LastpositionOfChar(F34,"-")-LEN(".out"))</f>
        <v>n4_q60_u90_r1048576_t4194304_c</v>
      </c>
      <c r="H34" t="str">
        <f t="shared" si="0"/>
        <v>vacation n4_q60_u90_r1048576_t4194304_c</v>
      </c>
      <c r="I34" t="str">
        <f t="shared" si="1"/>
        <v>TL2</v>
      </c>
    </row>
    <row r="35" spans="1:9" x14ac:dyDescent="0.45">
      <c r="A35" t="s">
        <v>46</v>
      </c>
      <c r="B35" t="s">
        <v>0</v>
      </c>
      <c r="C35">
        <v>2</v>
      </c>
      <c r="D35">
        <v>0</v>
      </c>
      <c r="E35">
        <v>34.535577000000004</v>
      </c>
      <c r="F35" t="s">
        <v>52</v>
      </c>
      <c r="G35" t="str">
        <f>MID(F35,LastpositionOfChar(F35,"-")+1,LEN(F35)-LastpositionOfChar(F35,"-")-LEN(".out"))</f>
        <v>n4_q60_u90_r1048576_t4194304_c</v>
      </c>
      <c r="H35" t="str">
        <f t="shared" si="0"/>
        <v>vacation n4_q60_u90_r1048576_t4194304_c</v>
      </c>
      <c r="I35" t="str">
        <f t="shared" si="1"/>
        <v>TL2</v>
      </c>
    </row>
    <row r="36" spans="1:9" x14ac:dyDescent="0.45">
      <c r="A36" t="s">
        <v>46</v>
      </c>
      <c r="B36" t="s">
        <v>0</v>
      </c>
      <c r="C36">
        <v>4</v>
      </c>
      <c r="D36">
        <v>0</v>
      </c>
      <c r="E36">
        <v>27.170959</v>
      </c>
      <c r="F36" t="s">
        <v>53</v>
      </c>
      <c r="G36" t="str">
        <f>MID(F36,LastpositionOfChar(F36,"-")+1,LEN(F36)-LastpositionOfChar(F36,"-")-LEN(".out"))</f>
        <v>n4_q60_u90_r1048576_t4194304_c</v>
      </c>
      <c r="H36" t="str">
        <f t="shared" si="0"/>
        <v>vacation n4_q60_u90_r1048576_t4194304_c</v>
      </c>
      <c r="I36" t="str">
        <f t="shared" si="1"/>
        <v>TL2</v>
      </c>
    </row>
    <row r="37" spans="1:9" x14ac:dyDescent="0.45">
      <c r="A37" t="s">
        <v>46</v>
      </c>
      <c r="B37" t="s">
        <v>0</v>
      </c>
      <c r="C37">
        <v>8</v>
      </c>
      <c r="D37">
        <v>0</v>
      </c>
      <c r="E37">
        <v>22.183897000000002</v>
      </c>
      <c r="F37" t="s">
        <v>54</v>
      </c>
      <c r="G37" t="str">
        <f>MID(F37,LastpositionOfChar(F37,"-")+1,LEN(F37)-LastpositionOfChar(F37,"-")-LEN(".out"))</f>
        <v>n4_q60_u90_r1048576_t4194304_c</v>
      </c>
      <c r="H37" t="str">
        <f t="shared" si="0"/>
        <v>vacation n4_q60_u90_r1048576_t4194304_c</v>
      </c>
      <c r="I37" t="str">
        <f t="shared" si="1"/>
        <v>TL2</v>
      </c>
    </row>
    <row r="38" spans="1:9" x14ac:dyDescent="0.45">
      <c r="A38" t="s">
        <v>55</v>
      </c>
      <c r="B38" t="s">
        <v>0</v>
      </c>
      <c r="C38">
        <v>1</v>
      </c>
      <c r="D38">
        <v>0</v>
      </c>
      <c r="E38">
        <v>20.298999999999999</v>
      </c>
      <c r="F38" t="s">
        <v>56</v>
      </c>
      <c r="G38" t="str">
        <f>MID(F38,LastpositionOfChar(F38,"-")+1,LEN(F38)-LastpositionOfChar(F38,"-")-LEN(".out"))</f>
        <v>a15_i_</v>
      </c>
      <c r="H38" t="str">
        <f t="shared" si="0"/>
        <v>yada a15_i_</v>
      </c>
      <c r="I38" t="str">
        <f t="shared" si="1"/>
        <v>TL2</v>
      </c>
    </row>
    <row r="39" spans="1:9" x14ac:dyDescent="0.45">
      <c r="A39" t="s">
        <v>55</v>
      </c>
      <c r="B39" t="s">
        <v>0</v>
      </c>
      <c r="C39">
        <v>2</v>
      </c>
      <c r="D39">
        <v>0</v>
      </c>
      <c r="E39">
        <v>28.951000000000001</v>
      </c>
      <c r="F39" t="s">
        <v>57</v>
      </c>
      <c r="G39" t="str">
        <f>MID(F39,LastpositionOfChar(F39,"-")+1,LEN(F39)-LastpositionOfChar(F39,"-")-LEN(".out"))</f>
        <v>a15_i_</v>
      </c>
      <c r="H39" t="str">
        <f t="shared" si="0"/>
        <v>yada a15_i_</v>
      </c>
      <c r="I39" t="str">
        <f t="shared" si="1"/>
        <v>TL2</v>
      </c>
    </row>
    <row r="40" spans="1:9" x14ac:dyDescent="0.45">
      <c r="A40" t="s">
        <v>55</v>
      </c>
      <c r="B40" t="s">
        <v>0</v>
      </c>
      <c r="C40">
        <v>4</v>
      </c>
      <c r="D40">
        <v>0</v>
      </c>
      <c r="E40">
        <v>28.05</v>
      </c>
      <c r="F40" t="s">
        <v>58</v>
      </c>
      <c r="G40" t="str">
        <f>MID(F40,LastpositionOfChar(F40,"-")+1,LEN(F40)-LastpositionOfChar(F40,"-")-LEN(".out"))</f>
        <v>a15_i_</v>
      </c>
      <c r="H40" t="str">
        <f t="shared" si="0"/>
        <v>yada a15_i_</v>
      </c>
      <c r="I40" t="str">
        <f t="shared" si="1"/>
        <v>TL2</v>
      </c>
    </row>
    <row r="41" spans="1:9" x14ac:dyDescent="0.45">
      <c r="A41" t="s">
        <v>55</v>
      </c>
      <c r="B41" t="s">
        <v>0</v>
      </c>
      <c r="C41">
        <v>8</v>
      </c>
      <c r="D41">
        <v>0</v>
      </c>
      <c r="E41">
        <v>27.94</v>
      </c>
      <c r="F41" t="s">
        <v>59</v>
      </c>
      <c r="G41" t="str">
        <f>MID(F41,LastpositionOfChar(F41,"-")+1,LEN(F41)-LastpositionOfChar(F41,"-")-LEN(".out"))</f>
        <v>a15_i_</v>
      </c>
      <c r="H41" t="str">
        <f t="shared" si="0"/>
        <v>yada a15_i_</v>
      </c>
      <c r="I41" t="str">
        <f t="shared" si="1"/>
        <v>TL2</v>
      </c>
    </row>
    <row r="42" spans="1:9" x14ac:dyDescent="0.45">
      <c r="A42" t="s">
        <v>12</v>
      </c>
      <c r="B42" t="s">
        <v>9</v>
      </c>
      <c r="C42">
        <v>1</v>
      </c>
      <c r="D42">
        <v>0</v>
      </c>
      <c r="E42">
        <v>30.8993</v>
      </c>
      <c r="F42" t="s">
        <v>60</v>
      </c>
      <c r="G42" t="str">
        <f>MID(F42,LastpositionOfChar(F42,"-")+1,LEN(F42)-LastpositionOfChar(F42,"-")-LEN(".out"))</f>
        <v>v32_r4096_n10_p40_i2_e8_s1_t</v>
      </c>
      <c r="H42" t="str">
        <f t="shared" si="0"/>
        <v>bayes v32_r4096_n10_p40_i2_e8_s1_t</v>
      </c>
      <c r="I42" t="str">
        <f t="shared" si="1"/>
        <v>TLE</v>
      </c>
    </row>
    <row r="43" spans="1:9" x14ac:dyDescent="0.45">
      <c r="A43" t="s">
        <v>12</v>
      </c>
      <c r="B43" t="s">
        <v>9</v>
      </c>
      <c r="C43">
        <v>2</v>
      </c>
      <c r="D43">
        <v>0</v>
      </c>
      <c r="E43">
        <v>35.474499999999999</v>
      </c>
      <c r="F43" t="s">
        <v>61</v>
      </c>
      <c r="G43" t="str">
        <f>MID(F43,LastpositionOfChar(F43,"-")+1,LEN(F43)-LastpositionOfChar(F43,"-")-LEN(".out"))</f>
        <v>v32_r4096_n10_p40_i2_e8_s1_t</v>
      </c>
      <c r="H43" t="str">
        <f t="shared" si="0"/>
        <v>bayes v32_r4096_n10_p40_i2_e8_s1_t</v>
      </c>
      <c r="I43" t="str">
        <f t="shared" si="1"/>
        <v>TLE</v>
      </c>
    </row>
    <row r="44" spans="1:9" x14ac:dyDescent="0.45">
      <c r="A44" t="s">
        <v>12</v>
      </c>
      <c r="B44" t="s">
        <v>9</v>
      </c>
      <c r="C44">
        <v>4</v>
      </c>
      <c r="D44">
        <v>0</v>
      </c>
      <c r="E44">
        <v>36.851399999999998</v>
      </c>
      <c r="F44" t="s">
        <v>62</v>
      </c>
      <c r="G44" t="str">
        <f>MID(F44,LastpositionOfChar(F44,"-")+1,LEN(F44)-LastpositionOfChar(F44,"-")-LEN(".out"))</f>
        <v>v32_r4096_n10_p40_i2_e8_s1_t</v>
      </c>
      <c r="H44" t="str">
        <f t="shared" si="0"/>
        <v>bayes v32_r4096_n10_p40_i2_e8_s1_t</v>
      </c>
      <c r="I44" t="str">
        <f t="shared" si="1"/>
        <v>TLE</v>
      </c>
    </row>
    <row r="45" spans="1:9" x14ac:dyDescent="0.45">
      <c r="A45" t="s">
        <v>12</v>
      </c>
      <c r="B45" t="s">
        <v>9</v>
      </c>
      <c r="C45">
        <v>8</v>
      </c>
      <c r="D45">
        <v>0</v>
      </c>
      <c r="E45">
        <v>39.448099999999997</v>
      </c>
      <c r="F45" t="s">
        <v>63</v>
      </c>
      <c r="G45" t="str">
        <f>MID(F45,LastpositionOfChar(F45,"-")+1,LEN(F45)-LastpositionOfChar(F45,"-")-LEN(".out"))</f>
        <v>v32_r4096_n10_p40_i2_e8_s1_t</v>
      </c>
      <c r="H45" t="str">
        <f t="shared" si="0"/>
        <v>bayes v32_r4096_n10_p40_i2_e8_s1_t</v>
      </c>
      <c r="I45" t="str">
        <f t="shared" si="1"/>
        <v>TLE</v>
      </c>
    </row>
    <row r="46" spans="1:9" x14ac:dyDescent="0.45">
      <c r="A46" t="s">
        <v>17</v>
      </c>
      <c r="B46" t="s">
        <v>9</v>
      </c>
      <c r="C46">
        <v>1</v>
      </c>
      <c r="D46">
        <v>0</v>
      </c>
      <c r="E46">
        <v>4.9405749999999999</v>
      </c>
      <c r="F46" t="s">
        <v>64</v>
      </c>
      <c r="G46" t="str">
        <f>MID(F46,LastpositionOfChar(F46,"-")+1,LEN(F46)-LastpositionOfChar(F46,"-")-LEN(".out"))</f>
        <v>g16384_s64_n16777216_t</v>
      </c>
      <c r="H46" t="str">
        <f t="shared" si="0"/>
        <v>genome g16384_s64_n16777216_t</v>
      </c>
      <c r="I46" t="str">
        <f t="shared" si="1"/>
        <v>TLE</v>
      </c>
    </row>
    <row r="47" spans="1:9" x14ac:dyDescent="0.45">
      <c r="A47" t="s">
        <v>17</v>
      </c>
      <c r="B47" t="s">
        <v>9</v>
      </c>
      <c r="C47">
        <v>2</v>
      </c>
      <c r="D47">
        <v>0</v>
      </c>
      <c r="E47">
        <v>4.7437969999999998</v>
      </c>
      <c r="F47" t="s">
        <v>65</v>
      </c>
      <c r="G47" t="str">
        <f>MID(F47,LastpositionOfChar(F47,"-")+1,LEN(F47)-LastpositionOfChar(F47,"-")-LEN(".out"))</f>
        <v>g16384_s64_n16777216_t</v>
      </c>
      <c r="H47" t="str">
        <f t="shared" si="0"/>
        <v>genome g16384_s64_n16777216_t</v>
      </c>
      <c r="I47" t="str">
        <f t="shared" si="1"/>
        <v>TLE</v>
      </c>
    </row>
    <row r="48" spans="1:9" x14ac:dyDescent="0.45">
      <c r="A48" t="s">
        <v>17</v>
      </c>
      <c r="B48" t="s">
        <v>9</v>
      </c>
      <c r="C48">
        <v>4</v>
      </c>
      <c r="D48">
        <v>0</v>
      </c>
      <c r="E48">
        <v>4.8729120000000004</v>
      </c>
      <c r="F48" t="s">
        <v>66</v>
      </c>
      <c r="G48" t="str">
        <f>MID(F48,LastpositionOfChar(F48,"-")+1,LEN(F48)-LastpositionOfChar(F48,"-")-LEN(".out"))</f>
        <v>g16384_s64_n16777216_t</v>
      </c>
      <c r="H48" t="str">
        <f t="shared" si="0"/>
        <v>genome g16384_s64_n16777216_t</v>
      </c>
      <c r="I48" t="str">
        <f t="shared" si="1"/>
        <v>TLE</v>
      </c>
    </row>
    <row r="49" spans="1:9" x14ac:dyDescent="0.45">
      <c r="A49" t="s">
        <v>17</v>
      </c>
      <c r="B49" t="s">
        <v>9</v>
      </c>
      <c r="C49">
        <v>8</v>
      </c>
      <c r="D49">
        <v>0</v>
      </c>
      <c r="E49">
        <v>5.7548820000000003</v>
      </c>
      <c r="F49" t="s">
        <v>67</v>
      </c>
      <c r="G49" t="str">
        <f>MID(F49,LastpositionOfChar(F49,"-")+1,LEN(F49)-LastpositionOfChar(F49,"-")-LEN(".out"))</f>
        <v>g16384_s64_n16777216_t</v>
      </c>
      <c r="H49" t="str">
        <f t="shared" si="0"/>
        <v>genome g16384_s64_n16777216_t</v>
      </c>
      <c r="I49" t="str">
        <f t="shared" si="1"/>
        <v>TLE</v>
      </c>
    </row>
    <row r="50" spans="1:9" x14ac:dyDescent="0.45">
      <c r="A50" t="s">
        <v>22</v>
      </c>
      <c r="B50" t="s">
        <v>9</v>
      </c>
      <c r="C50">
        <v>1</v>
      </c>
      <c r="D50">
        <v>0</v>
      </c>
      <c r="F50" t="s">
        <v>68</v>
      </c>
      <c r="G50" t="str">
        <f>MID(F50,LastpositionOfChar(F50,"-")+1,LEN(F50)-LastpositionOfChar(F50,"-")-LEN(".out"))</f>
        <v>a10_l128_n262144_s1_t</v>
      </c>
      <c r="H50" t="str">
        <f t="shared" si="0"/>
        <v>intruder a10_l128_n262144_s1_t</v>
      </c>
      <c r="I50" t="str">
        <f t="shared" si="1"/>
        <v>TLE</v>
      </c>
    </row>
    <row r="51" spans="1:9" x14ac:dyDescent="0.45">
      <c r="A51" t="s">
        <v>22</v>
      </c>
      <c r="B51" t="s">
        <v>9</v>
      </c>
      <c r="C51">
        <v>2</v>
      </c>
      <c r="D51">
        <v>0</v>
      </c>
      <c r="F51" t="s">
        <v>69</v>
      </c>
      <c r="G51" t="str">
        <f>MID(F51,LastpositionOfChar(F51,"-")+1,LEN(F51)-LastpositionOfChar(F51,"-")-LEN(".out"))</f>
        <v>a10_l128_n262144_s1_t</v>
      </c>
      <c r="H51" t="str">
        <f t="shared" si="0"/>
        <v>intruder a10_l128_n262144_s1_t</v>
      </c>
      <c r="I51" t="str">
        <f t="shared" si="1"/>
        <v>TLE</v>
      </c>
    </row>
    <row r="52" spans="1:9" x14ac:dyDescent="0.45">
      <c r="A52" t="s">
        <v>22</v>
      </c>
      <c r="B52" t="s">
        <v>9</v>
      </c>
      <c r="C52">
        <v>4</v>
      </c>
      <c r="D52">
        <v>0</v>
      </c>
      <c r="F52" t="s">
        <v>70</v>
      </c>
      <c r="G52" t="str">
        <f>MID(F52,LastpositionOfChar(F52,"-")+1,LEN(F52)-LastpositionOfChar(F52,"-")-LEN(".out"))</f>
        <v>a10_l128_n262144_s1_t</v>
      </c>
      <c r="H52" t="str">
        <f t="shared" si="0"/>
        <v>intruder a10_l128_n262144_s1_t</v>
      </c>
      <c r="I52" t="str">
        <f t="shared" si="1"/>
        <v>TLE</v>
      </c>
    </row>
    <row r="53" spans="1:9" x14ac:dyDescent="0.45">
      <c r="A53" t="s">
        <v>22</v>
      </c>
      <c r="B53" t="s">
        <v>9</v>
      </c>
      <c r="C53">
        <v>8</v>
      </c>
      <c r="D53">
        <v>0</v>
      </c>
      <c r="F53" t="s">
        <v>71</v>
      </c>
      <c r="G53" t="str">
        <f>MID(F53,LastpositionOfChar(F53,"-")+1,LEN(F53)-LastpositionOfChar(F53,"-")-LEN(".out"))</f>
        <v>a10_l128_n262144_s1_t</v>
      </c>
      <c r="H53" t="str">
        <f t="shared" si="0"/>
        <v>intruder a10_l128_n262144_s1_t</v>
      </c>
      <c r="I53" t="str">
        <f t="shared" si="1"/>
        <v>TLE</v>
      </c>
    </row>
    <row r="54" spans="1:9" x14ac:dyDescent="0.45">
      <c r="A54" t="s">
        <v>27</v>
      </c>
      <c r="B54" t="s">
        <v>9</v>
      </c>
      <c r="C54">
        <v>1</v>
      </c>
      <c r="D54">
        <v>0</v>
      </c>
      <c r="E54">
        <v>7.2672400000000001</v>
      </c>
      <c r="F54" t="s">
        <v>72</v>
      </c>
      <c r="G54" t="str">
        <f>MID(F54,LastpositionOfChar(F54,"-")+1,LEN(F54)-LastpositionOfChar(F54,"-")-LEN(".out"))</f>
        <v>m40_n40_t0</v>
      </c>
      <c r="H54" t="str">
        <f t="shared" si="0"/>
        <v>kmeans m40_n40_t0</v>
      </c>
      <c r="I54" t="str">
        <f t="shared" si="1"/>
        <v>TLE</v>
      </c>
    </row>
    <row r="55" spans="1:9" x14ac:dyDescent="0.45">
      <c r="A55" t="s">
        <v>27</v>
      </c>
      <c r="B55" t="s">
        <v>9</v>
      </c>
      <c r="C55">
        <v>2</v>
      </c>
      <c r="D55">
        <v>0</v>
      </c>
      <c r="E55">
        <v>4.1552100000000003</v>
      </c>
      <c r="F55" t="s">
        <v>73</v>
      </c>
      <c r="G55" t="str">
        <f>MID(F55,LastpositionOfChar(F55,"-")+1,LEN(F55)-LastpositionOfChar(F55,"-")-LEN(".out"))</f>
        <v>m40_n40_t0</v>
      </c>
      <c r="H55" t="str">
        <f t="shared" si="0"/>
        <v>kmeans m40_n40_t0</v>
      </c>
      <c r="I55" t="str">
        <f t="shared" si="1"/>
        <v>TLE</v>
      </c>
    </row>
    <row r="56" spans="1:9" x14ac:dyDescent="0.45">
      <c r="A56" t="s">
        <v>27</v>
      </c>
      <c r="B56" t="s">
        <v>9</v>
      </c>
      <c r="C56">
        <v>4</v>
      </c>
      <c r="D56">
        <v>0</v>
      </c>
      <c r="E56">
        <v>4.3381999999999996</v>
      </c>
      <c r="F56" t="s">
        <v>74</v>
      </c>
      <c r="G56" t="str">
        <f>MID(F56,LastpositionOfChar(F56,"-")+1,LEN(F56)-LastpositionOfChar(F56,"-")-LEN(".out"))</f>
        <v>m40_n40_t0</v>
      </c>
      <c r="H56" t="str">
        <f t="shared" si="0"/>
        <v>kmeans m40_n40_t0</v>
      </c>
      <c r="I56" t="str">
        <f t="shared" si="1"/>
        <v>TLE</v>
      </c>
    </row>
    <row r="57" spans="1:9" x14ac:dyDescent="0.45">
      <c r="A57" t="s">
        <v>27</v>
      </c>
      <c r="B57" t="s">
        <v>9</v>
      </c>
      <c r="C57">
        <v>8</v>
      </c>
      <c r="D57">
        <v>0</v>
      </c>
      <c r="E57">
        <v>5.8165500000000003</v>
      </c>
      <c r="F57" t="s">
        <v>75</v>
      </c>
      <c r="G57" t="str">
        <f>MID(F57,LastpositionOfChar(F57,"-")+1,LEN(F57)-LastpositionOfChar(F57,"-")-LEN(".out"))</f>
        <v>m40_n40_t0</v>
      </c>
      <c r="H57" t="str">
        <f t="shared" si="0"/>
        <v>kmeans m40_n40_t0</v>
      </c>
      <c r="I57" t="str">
        <f t="shared" si="1"/>
        <v>TLE</v>
      </c>
    </row>
    <row r="58" spans="1:9" x14ac:dyDescent="0.45">
      <c r="A58" t="s">
        <v>27</v>
      </c>
      <c r="B58" t="s">
        <v>9</v>
      </c>
      <c r="C58">
        <v>1</v>
      </c>
      <c r="D58">
        <v>0</v>
      </c>
      <c r="E58">
        <v>1.4296500000000001</v>
      </c>
      <c r="F58" t="s">
        <v>76</v>
      </c>
      <c r="G58" t="str">
        <f>MID(F58,LastpositionOfChar(F58,"-")+1,LEN(F58)-LastpositionOfChar(F58,"-")-LEN(".out"))</f>
        <v>m15_n15_t0</v>
      </c>
      <c r="H58" t="str">
        <f t="shared" si="0"/>
        <v>kmeans m15_n15_t0</v>
      </c>
      <c r="I58" t="str">
        <f t="shared" si="1"/>
        <v>TLE</v>
      </c>
    </row>
    <row r="59" spans="1:9" x14ac:dyDescent="0.45">
      <c r="A59" t="s">
        <v>27</v>
      </c>
      <c r="B59" t="s">
        <v>9</v>
      </c>
      <c r="C59">
        <v>2</v>
      </c>
      <c r="D59">
        <v>0</v>
      </c>
      <c r="E59">
        <v>1.06328</v>
      </c>
      <c r="F59" t="s">
        <v>77</v>
      </c>
      <c r="G59" t="str">
        <f>MID(F59,LastpositionOfChar(F59,"-")+1,LEN(F59)-LastpositionOfChar(F59,"-")-LEN(".out"))</f>
        <v>m15_n15_t0</v>
      </c>
      <c r="H59" t="str">
        <f t="shared" si="0"/>
        <v>kmeans m15_n15_t0</v>
      </c>
      <c r="I59" t="str">
        <f t="shared" si="1"/>
        <v>TLE</v>
      </c>
    </row>
    <row r="60" spans="1:9" x14ac:dyDescent="0.45">
      <c r="A60" t="s">
        <v>27</v>
      </c>
      <c r="B60" t="s">
        <v>9</v>
      </c>
      <c r="C60">
        <v>4</v>
      </c>
      <c r="D60">
        <v>0</v>
      </c>
      <c r="E60">
        <v>1.14123</v>
      </c>
      <c r="F60" t="s">
        <v>78</v>
      </c>
      <c r="G60" t="str">
        <f>MID(F60,LastpositionOfChar(F60,"-")+1,LEN(F60)-LastpositionOfChar(F60,"-")-LEN(".out"))</f>
        <v>m15_n15_t0</v>
      </c>
      <c r="H60" t="str">
        <f t="shared" si="0"/>
        <v>kmeans m15_n15_t0</v>
      </c>
      <c r="I60" t="str">
        <f t="shared" si="1"/>
        <v>TLE</v>
      </c>
    </row>
    <row r="61" spans="1:9" x14ac:dyDescent="0.45">
      <c r="A61" t="s">
        <v>27</v>
      </c>
      <c r="B61" t="s">
        <v>9</v>
      </c>
      <c r="C61">
        <v>8</v>
      </c>
      <c r="D61">
        <v>0</v>
      </c>
      <c r="E61">
        <v>2.6190600000000002</v>
      </c>
      <c r="F61" t="s">
        <v>79</v>
      </c>
      <c r="G61" t="str">
        <f>MID(F61,LastpositionOfChar(F61,"-")+1,LEN(F61)-LastpositionOfChar(F61,"-")-LEN(".out"))</f>
        <v>m15_n15_t0</v>
      </c>
      <c r="H61" t="str">
        <f t="shared" si="0"/>
        <v>kmeans m15_n15_t0</v>
      </c>
      <c r="I61" t="str">
        <f t="shared" si="1"/>
        <v>TLE</v>
      </c>
    </row>
    <row r="62" spans="1:9" x14ac:dyDescent="0.45">
      <c r="A62" t="s">
        <v>36</v>
      </c>
      <c r="B62" t="s">
        <v>9</v>
      </c>
      <c r="C62">
        <v>1</v>
      </c>
      <c r="D62">
        <v>0</v>
      </c>
      <c r="E62">
        <v>66.757086000000001</v>
      </c>
      <c r="F62" t="s">
        <v>80</v>
      </c>
      <c r="G62" t="str">
        <f>MID(F62,LastpositionOfChar(F62,"-")+1,LEN(F62)-LastpositionOfChar(F62,"-")-LEN(".out"))</f>
        <v>i_</v>
      </c>
      <c r="H62" t="str">
        <f t="shared" si="0"/>
        <v>labyrinth i_</v>
      </c>
      <c r="I62" t="str">
        <f t="shared" si="1"/>
        <v>TLE</v>
      </c>
    </row>
    <row r="63" spans="1:9" x14ac:dyDescent="0.45">
      <c r="A63" t="s">
        <v>36</v>
      </c>
      <c r="B63" t="s">
        <v>9</v>
      </c>
      <c r="C63">
        <v>2</v>
      </c>
      <c r="D63">
        <v>0</v>
      </c>
      <c r="E63">
        <v>93.082307999999998</v>
      </c>
      <c r="F63" t="s">
        <v>81</v>
      </c>
      <c r="G63" t="str">
        <f>MID(F63,LastpositionOfChar(F63,"-")+1,LEN(F63)-LastpositionOfChar(F63,"-")-LEN(".out"))</f>
        <v>i_</v>
      </c>
      <c r="H63" t="str">
        <f t="shared" si="0"/>
        <v>labyrinth i_</v>
      </c>
      <c r="I63" t="str">
        <f t="shared" si="1"/>
        <v>TLE</v>
      </c>
    </row>
    <row r="64" spans="1:9" x14ac:dyDescent="0.45">
      <c r="A64" t="s">
        <v>36</v>
      </c>
      <c r="B64" t="s">
        <v>9</v>
      </c>
      <c r="C64">
        <v>4</v>
      </c>
      <c r="D64">
        <v>0</v>
      </c>
      <c r="E64">
        <v>94.414649999999995</v>
      </c>
      <c r="F64" t="s">
        <v>82</v>
      </c>
      <c r="G64" t="str">
        <f>MID(F64,LastpositionOfChar(F64,"-")+1,LEN(F64)-LastpositionOfChar(F64,"-")-LEN(".out"))</f>
        <v>i_</v>
      </c>
      <c r="H64" t="str">
        <f t="shared" si="0"/>
        <v>labyrinth i_</v>
      </c>
      <c r="I64" t="str">
        <f t="shared" si="1"/>
        <v>TLE</v>
      </c>
    </row>
    <row r="65" spans="1:9" x14ac:dyDescent="0.45">
      <c r="A65" t="s">
        <v>36</v>
      </c>
      <c r="B65" t="s">
        <v>9</v>
      </c>
      <c r="C65">
        <v>8</v>
      </c>
      <c r="D65">
        <v>0</v>
      </c>
      <c r="E65">
        <v>132.608532</v>
      </c>
      <c r="F65" t="s">
        <v>83</v>
      </c>
      <c r="G65" t="str">
        <f>MID(F65,LastpositionOfChar(F65,"-")+1,LEN(F65)-LastpositionOfChar(F65,"-")-LEN(".out"))</f>
        <v>i_</v>
      </c>
      <c r="H65" t="str">
        <f t="shared" si="0"/>
        <v>labyrinth i_</v>
      </c>
      <c r="I65" t="str">
        <f t="shared" si="1"/>
        <v>TLE</v>
      </c>
    </row>
    <row r="66" spans="1:9" x14ac:dyDescent="0.45">
      <c r="A66" t="s">
        <v>41</v>
      </c>
      <c r="B66" t="s">
        <v>9</v>
      </c>
      <c r="C66">
        <v>1</v>
      </c>
      <c r="D66">
        <v>0</v>
      </c>
      <c r="E66">
        <v>10.899697</v>
      </c>
      <c r="F66" t="s">
        <v>84</v>
      </c>
      <c r="G66" t="str">
        <f>MID(F66,LastpositionOfChar(F66,"-")+1,LEN(F66)-LastpositionOfChar(F66,"-")-LEN(".out"))</f>
        <v>s20_i1</v>
      </c>
      <c r="H66" t="str">
        <f t="shared" si="0"/>
        <v>ssca2 s20_i1</v>
      </c>
      <c r="I66" t="str">
        <f t="shared" si="1"/>
        <v>TLE</v>
      </c>
    </row>
    <row r="67" spans="1:9" x14ac:dyDescent="0.45">
      <c r="A67" t="s">
        <v>41</v>
      </c>
      <c r="B67" t="s">
        <v>9</v>
      </c>
      <c r="C67">
        <v>2</v>
      </c>
      <c r="D67">
        <v>0</v>
      </c>
      <c r="E67">
        <v>11.589243</v>
      </c>
      <c r="F67" t="s">
        <v>85</v>
      </c>
      <c r="G67" t="str">
        <f>MID(F67,LastpositionOfChar(F67,"-")+1,LEN(F67)-LastpositionOfChar(F67,"-")-LEN(".out"))</f>
        <v>s20_i1</v>
      </c>
      <c r="H67" t="str">
        <f t="shared" ref="H67:H130" si="2">A67&amp;" "&amp;G67</f>
        <v>ssca2 s20_i1</v>
      </c>
      <c r="I67" t="str">
        <f t="shared" ref="I67:I130" si="3">VLOOKUP(B67,T$2:U$5,2,FALSE)</f>
        <v>TLE</v>
      </c>
    </row>
    <row r="68" spans="1:9" x14ac:dyDescent="0.45">
      <c r="A68" t="s">
        <v>41</v>
      </c>
      <c r="B68" t="s">
        <v>9</v>
      </c>
      <c r="C68">
        <v>4</v>
      </c>
      <c r="D68">
        <v>0</v>
      </c>
      <c r="E68">
        <v>10.654502000000001</v>
      </c>
      <c r="F68" t="s">
        <v>86</v>
      </c>
      <c r="G68" t="str">
        <f>MID(F68,LastpositionOfChar(F68,"-")+1,LEN(F68)-LastpositionOfChar(F68,"-")-LEN(".out"))</f>
        <v>s20_i1</v>
      </c>
      <c r="H68" t="str">
        <f t="shared" si="2"/>
        <v>ssca2 s20_i1</v>
      </c>
      <c r="I68" t="str">
        <f t="shared" si="3"/>
        <v>TLE</v>
      </c>
    </row>
    <row r="69" spans="1:9" x14ac:dyDescent="0.45">
      <c r="A69" t="s">
        <v>41</v>
      </c>
      <c r="B69" t="s">
        <v>9</v>
      </c>
      <c r="C69">
        <v>8</v>
      </c>
      <c r="D69">
        <v>0</v>
      </c>
      <c r="E69">
        <v>10.418367999999999</v>
      </c>
      <c r="F69" t="s">
        <v>87</v>
      </c>
      <c r="G69" t="str">
        <f>MID(F69,LastpositionOfChar(F69,"-")+1,LEN(F69)-LastpositionOfChar(F69,"-")-LEN(".out"))</f>
        <v>s20_i1</v>
      </c>
      <c r="H69" t="str">
        <f t="shared" si="2"/>
        <v>ssca2 s20_i1</v>
      </c>
      <c r="I69" t="str">
        <f t="shared" si="3"/>
        <v>TLE</v>
      </c>
    </row>
    <row r="70" spans="1:9" x14ac:dyDescent="0.45">
      <c r="A70" t="s">
        <v>46</v>
      </c>
      <c r="B70" t="s">
        <v>9</v>
      </c>
      <c r="C70">
        <v>1</v>
      </c>
      <c r="D70">
        <v>0</v>
      </c>
      <c r="F70" t="s">
        <v>88</v>
      </c>
      <c r="G70" t="str">
        <f>MID(F70,LastpositionOfChar(F70,"-")+1,LEN(F70)-LastpositionOfChar(F70,"-")-LEN(".out"))</f>
        <v>n2_q90_u98_r1048576_t4194304_c</v>
      </c>
      <c r="H70" t="str">
        <f t="shared" si="2"/>
        <v>vacation n2_q90_u98_r1048576_t4194304_c</v>
      </c>
      <c r="I70" t="str">
        <f t="shared" si="3"/>
        <v>TLE</v>
      </c>
    </row>
    <row r="71" spans="1:9" x14ac:dyDescent="0.45">
      <c r="A71" t="s">
        <v>46</v>
      </c>
      <c r="B71" t="s">
        <v>9</v>
      </c>
      <c r="C71">
        <v>2</v>
      </c>
      <c r="D71">
        <v>0</v>
      </c>
      <c r="F71" t="s">
        <v>89</v>
      </c>
      <c r="G71" t="str">
        <f>MID(F71,LastpositionOfChar(F71,"-")+1,LEN(F71)-LastpositionOfChar(F71,"-")-LEN(".out"))</f>
        <v>n2_q90_u98_r1048576_t4194304_c</v>
      </c>
      <c r="H71" t="str">
        <f t="shared" si="2"/>
        <v>vacation n2_q90_u98_r1048576_t4194304_c</v>
      </c>
      <c r="I71" t="str">
        <f t="shared" si="3"/>
        <v>TLE</v>
      </c>
    </row>
    <row r="72" spans="1:9" x14ac:dyDescent="0.45">
      <c r="A72" t="s">
        <v>46</v>
      </c>
      <c r="B72" t="s">
        <v>9</v>
      </c>
      <c r="C72">
        <v>4</v>
      </c>
      <c r="D72">
        <v>0</v>
      </c>
      <c r="F72" t="s">
        <v>90</v>
      </c>
      <c r="G72" t="str">
        <f>MID(F72,LastpositionOfChar(F72,"-")+1,LEN(F72)-LastpositionOfChar(F72,"-")-LEN(".out"))</f>
        <v>n2_q90_u98_r1048576_t4194304_c</v>
      </c>
      <c r="H72" t="str">
        <f t="shared" si="2"/>
        <v>vacation n2_q90_u98_r1048576_t4194304_c</v>
      </c>
      <c r="I72" t="str">
        <f t="shared" si="3"/>
        <v>TLE</v>
      </c>
    </row>
    <row r="73" spans="1:9" x14ac:dyDescent="0.45">
      <c r="A73" t="s">
        <v>46</v>
      </c>
      <c r="B73" t="s">
        <v>9</v>
      </c>
      <c r="C73">
        <v>8</v>
      </c>
      <c r="D73">
        <v>0</v>
      </c>
      <c r="F73" t="s">
        <v>91</v>
      </c>
      <c r="G73" t="str">
        <f>MID(F73,LastpositionOfChar(F73,"-")+1,LEN(F73)-LastpositionOfChar(F73,"-")-LEN(".out"))</f>
        <v>n2_q90_u98_r1048576_t4194304_c</v>
      </c>
      <c r="H73" t="str">
        <f t="shared" si="2"/>
        <v>vacation n2_q90_u98_r1048576_t4194304_c</v>
      </c>
      <c r="I73" t="str">
        <f t="shared" si="3"/>
        <v>TLE</v>
      </c>
    </row>
    <row r="74" spans="1:9" x14ac:dyDescent="0.45">
      <c r="A74" t="s">
        <v>46</v>
      </c>
      <c r="B74" t="s">
        <v>9</v>
      </c>
      <c r="C74">
        <v>1</v>
      </c>
      <c r="D74">
        <v>0</v>
      </c>
      <c r="F74" t="s">
        <v>92</v>
      </c>
      <c r="G74" t="str">
        <f>MID(F74,LastpositionOfChar(F74,"-")+1,LEN(F74)-LastpositionOfChar(F74,"-")-LEN(".out"))</f>
        <v>n4_q60_u90_r1048576_t4194304_c</v>
      </c>
      <c r="H74" t="str">
        <f t="shared" si="2"/>
        <v>vacation n4_q60_u90_r1048576_t4194304_c</v>
      </c>
      <c r="I74" t="str">
        <f t="shared" si="3"/>
        <v>TLE</v>
      </c>
    </row>
    <row r="75" spans="1:9" x14ac:dyDescent="0.45">
      <c r="A75" t="s">
        <v>46</v>
      </c>
      <c r="B75" t="s">
        <v>9</v>
      </c>
      <c r="C75">
        <v>2</v>
      </c>
      <c r="D75">
        <v>0</v>
      </c>
      <c r="F75" t="s">
        <v>93</v>
      </c>
      <c r="G75" t="str">
        <f>MID(F75,LastpositionOfChar(F75,"-")+1,LEN(F75)-LastpositionOfChar(F75,"-")-LEN(".out"))</f>
        <v>n4_q60_u90_r1048576_t4194304_c</v>
      </c>
      <c r="H75" t="str">
        <f t="shared" si="2"/>
        <v>vacation n4_q60_u90_r1048576_t4194304_c</v>
      </c>
      <c r="I75" t="str">
        <f t="shared" si="3"/>
        <v>TLE</v>
      </c>
    </row>
    <row r="76" spans="1:9" x14ac:dyDescent="0.45">
      <c r="A76" t="s">
        <v>46</v>
      </c>
      <c r="B76" t="s">
        <v>9</v>
      </c>
      <c r="C76">
        <v>4</v>
      </c>
      <c r="D76">
        <v>0</v>
      </c>
      <c r="F76" t="s">
        <v>94</v>
      </c>
      <c r="G76" t="str">
        <f>MID(F76,LastpositionOfChar(F76,"-")+1,LEN(F76)-LastpositionOfChar(F76,"-")-LEN(".out"))</f>
        <v>n4_q60_u90_r1048576_t4194304_c</v>
      </c>
      <c r="H76" t="str">
        <f t="shared" si="2"/>
        <v>vacation n4_q60_u90_r1048576_t4194304_c</v>
      </c>
      <c r="I76" t="str">
        <f t="shared" si="3"/>
        <v>TLE</v>
      </c>
    </row>
    <row r="77" spans="1:9" x14ac:dyDescent="0.45">
      <c r="A77" t="s">
        <v>46</v>
      </c>
      <c r="B77" t="s">
        <v>9</v>
      </c>
      <c r="C77">
        <v>8</v>
      </c>
      <c r="D77">
        <v>0</v>
      </c>
      <c r="F77" t="s">
        <v>95</v>
      </c>
      <c r="G77" t="str">
        <f>MID(F77,LastpositionOfChar(F77,"-")+1,LEN(F77)-LastpositionOfChar(F77,"-")-LEN(".out"))</f>
        <v>n4_q60_u90_r1048576_t4194304_c</v>
      </c>
      <c r="H77" t="str">
        <f t="shared" si="2"/>
        <v>vacation n4_q60_u90_r1048576_t4194304_c</v>
      </c>
      <c r="I77" t="str">
        <f t="shared" si="3"/>
        <v>TLE</v>
      </c>
    </row>
    <row r="78" spans="1:9" x14ac:dyDescent="0.45">
      <c r="A78" t="s">
        <v>55</v>
      </c>
      <c r="B78" t="s">
        <v>9</v>
      </c>
      <c r="C78">
        <v>1</v>
      </c>
      <c r="D78">
        <v>0</v>
      </c>
      <c r="F78" t="s">
        <v>96</v>
      </c>
      <c r="G78" t="str">
        <f>MID(F78,LastpositionOfChar(F78,"-")+1,LEN(F78)-LastpositionOfChar(F78,"-")-LEN(".out"))</f>
        <v>a15_i_</v>
      </c>
      <c r="H78" t="str">
        <f t="shared" si="2"/>
        <v>yada a15_i_</v>
      </c>
      <c r="I78" t="str">
        <f t="shared" si="3"/>
        <v>TLE</v>
      </c>
    </row>
    <row r="79" spans="1:9" x14ac:dyDescent="0.45">
      <c r="A79" t="s">
        <v>55</v>
      </c>
      <c r="B79" t="s">
        <v>9</v>
      </c>
      <c r="C79">
        <v>2</v>
      </c>
      <c r="D79">
        <v>0</v>
      </c>
      <c r="F79" t="s">
        <v>97</v>
      </c>
      <c r="G79" t="str">
        <f>MID(F79,LastpositionOfChar(F79,"-")+1,LEN(F79)-LastpositionOfChar(F79,"-")-LEN(".out"))</f>
        <v>a15_i_</v>
      </c>
      <c r="H79" t="str">
        <f t="shared" si="2"/>
        <v>yada a15_i_</v>
      </c>
      <c r="I79" t="str">
        <f t="shared" si="3"/>
        <v>TLE</v>
      </c>
    </row>
    <row r="80" spans="1:9" x14ac:dyDescent="0.45">
      <c r="A80" t="s">
        <v>55</v>
      </c>
      <c r="B80" t="s">
        <v>9</v>
      </c>
      <c r="C80">
        <v>4</v>
      </c>
      <c r="D80">
        <v>0</v>
      </c>
      <c r="F80" t="s">
        <v>98</v>
      </c>
      <c r="G80" t="str">
        <f>MID(F80,LastpositionOfChar(F80,"-")+1,LEN(F80)-LastpositionOfChar(F80,"-")-LEN(".out"))</f>
        <v>a15_i_</v>
      </c>
      <c r="H80" t="str">
        <f t="shared" si="2"/>
        <v>yada a15_i_</v>
      </c>
      <c r="I80" t="str">
        <f t="shared" si="3"/>
        <v>TLE</v>
      </c>
    </row>
    <row r="81" spans="1:9" x14ac:dyDescent="0.45">
      <c r="A81" t="s">
        <v>55</v>
      </c>
      <c r="B81" t="s">
        <v>9</v>
      </c>
      <c r="C81">
        <v>8</v>
      </c>
      <c r="D81">
        <v>0</v>
      </c>
      <c r="F81" t="s">
        <v>99</v>
      </c>
      <c r="G81" t="str">
        <f>MID(F81,LastpositionOfChar(F81,"-")+1,LEN(F81)-LastpositionOfChar(F81,"-")-LEN(".out"))</f>
        <v>a15_i_</v>
      </c>
      <c r="H81" t="str">
        <f t="shared" si="2"/>
        <v>yada a15_i_</v>
      </c>
      <c r="I81" t="str">
        <f t="shared" si="3"/>
        <v>TLE</v>
      </c>
    </row>
    <row r="82" spans="1:9" x14ac:dyDescent="0.45">
      <c r="A82" t="s">
        <v>12</v>
      </c>
      <c r="B82" t="s">
        <v>1</v>
      </c>
      <c r="C82">
        <v>1</v>
      </c>
      <c r="D82">
        <v>0</v>
      </c>
      <c r="E82">
        <v>31.1082</v>
      </c>
      <c r="F82" t="s">
        <v>100</v>
      </c>
      <c r="G82" t="str">
        <f>MID(F82,LastpositionOfChar(F82,"-")+1,LEN(F82)-LastpositionOfChar(F82,"-")-LEN(".out"))</f>
        <v>v32_r4096_n10_p40_i2_e8_s1_t</v>
      </c>
      <c r="H82" t="str">
        <f t="shared" si="2"/>
        <v>bayes v32_r4096_n10_p40_i2_e8_s1_t</v>
      </c>
      <c r="I82" t="str">
        <f t="shared" si="3"/>
        <v>Alg1</v>
      </c>
    </row>
    <row r="83" spans="1:9" x14ac:dyDescent="0.45">
      <c r="A83" t="s">
        <v>12</v>
      </c>
      <c r="B83" t="s">
        <v>1</v>
      </c>
      <c r="C83">
        <v>2</v>
      </c>
      <c r="D83">
        <v>0</v>
      </c>
      <c r="E83">
        <v>55.1828</v>
      </c>
      <c r="F83" t="s">
        <v>101</v>
      </c>
      <c r="G83" t="str">
        <f>MID(F83,LastpositionOfChar(F83,"-")+1,LEN(F83)-LastpositionOfChar(F83,"-")-LEN(".out"))</f>
        <v>v32_r4096_n10_p40_i2_e8_s1_t</v>
      </c>
      <c r="H83" t="str">
        <f t="shared" si="2"/>
        <v>bayes v32_r4096_n10_p40_i2_e8_s1_t</v>
      </c>
      <c r="I83" t="str">
        <f t="shared" si="3"/>
        <v>Alg1</v>
      </c>
    </row>
    <row r="84" spans="1:9" x14ac:dyDescent="0.45">
      <c r="A84" t="s">
        <v>12</v>
      </c>
      <c r="B84" t="s">
        <v>1</v>
      </c>
      <c r="C84">
        <v>4</v>
      </c>
      <c r="D84">
        <v>0</v>
      </c>
      <c r="E84">
        <v>56.033200000000001</v>
      </c>
      <c r="F84" t="s">
        <v>102</v>
      </c>
      <c r="G84" t="str">
        <f>MID(F84,LastpositionOfChar(F84,"-")+1,LEN(F84)-LastpositionOfChar(F84,"-")-LEN(".out"))</f>
        <v>v32_r4096_n10_p40_i2_e8_s1_t</v>
      </c>
      <c r="H84" t="str">
        <f t="shared" si="2"/>
        <v>bayes v32_r4096_n10_p40_i2_e8_s1_t</v>
      </c>
      <c r="I84" t="str">
        <f t="shared" si="3"/>
        <v>Alg1</v>
      </c>
    </row>
    <row r="85" spans="1:9" x14ac:dyDescent="0.45">
      <c r="A85" t="s">
        <v>12</v>
      </c>
      <c r="B85" t="s">
        <v>1</v>
      </c>
      <c r="C85">
        <v>8</v>
      </c>
      <c r="D85">
        <v>0</v>
      </c>
      <c r="E85">
        <v>63.613300000000002</v>
      </c>
      <c r="F85" t="s">
        <v>103</v>
      </c>
      <c r="G85" t="str">
        <f>MID(F85,LastpositionOfChar(F85,"-")+1,LEN(F85)-LastpositionOfChar(F85,"-")-LEN(".out"))</f>
        <v>v32_r4096_n10_p40_i2_e8_s1_t</v>
      </c>
      <c r="H85" t="str">
        <f t="shared" si="2"/>
        <v>bayes v32_r4096_n10_p40_i2_e8_s1_t</v>
      </c>
      <c r="I85" t="str">
        <f t="shared" si="3"/>
        <v>Alg1</v>
      </c>
    </row>
    <row r="86" spans="1:9" x14ac:dyDescent="0.45">
      <c r="A86" t="s">
        <v>17</v>
      </c>
      <c r="B86" t="s">
        <v>1</v>
      </c>
      <c r="C86">
        <v>1</v>
      </c>
      <c r="D86">
        <v>0</v>
      </c>
      <c r="E86">
        <v>237.85731899999999</v>
      </c>
      <c r="F86" t="s">
        <v>104</v>
      </c>
      <c r="G86" t="str">
        <f>MID(F86,LastpositionOfChar(F86,"-")+1,LEN(F86)-LastpositionOfChar(F86,"-")-LEN(".out"))</f>
        <v>g16384_s64_n16777216_t</v>
      </c>
      <c r="H86" t="str">
        <f t="shared" si="2"/>
        <v>genome g16384_s64_n16777216_t</v>
      </c>
      <c r="I86" t="str">
        <f t="shared" si="3"/>
        <v>Alg1</v>
      </c>
    </row>
    <row r="87" spans="1:9" x14ac:dyDescent="0.45">
      <c r="A87" t="s">
        <v>17</v>
      </c>
      <c r="B87" t="s">
        <v>1</v>
      </c>
      <c r="C87">
        <v>2</v>
      </c>
      <c r="D87">
        <v>0</v>
      </c>
      <c r="E87">
        <v>194.49159499999999</v>
      </c>
      <c r="F87" t="s">
        <v>105</v>
      </c>
      <c r="G87" t="str">
        <f>MID(F87,LastpositionOfChar(F87,"-")+1,LEN(F87)-LastpositionOfChar(F87,"-")-LEN(".out"))</f>
        <v>g16384_s64_n16777216_t</v>
      </c>
      <c r="H87" t="str">
        <f t="shared" si="2"/>
        <v>genome g16384_s64_n16777216_t</v>
      </c>
      <c r="I87" t="str">
        <f t="shared" si="3"/>
        <v>Alg1</v>
      </c>
    </row>
    <row r="88" spans="1:9" x14ac:dyDescent="0.45">
      <c r="A88" t="s">
        <v>17</v>
      </c>
      <c r="B88" t="s">
        <v>1</v>
      </c>
      <c r="C88">
        <v>4</v>
      </c>
      <c r="D88">
        <v>0</v>
      </c>
      <c r="E88">
        <v>96.179490999999999</v>
      </c>
      <c r="F88" t="s">
        <v>106</v>
      </c>
      <c r="G88" t="str">
        <f>MID(F88,LastpositionOfChar(F88,"-")+1,LEN(F88)-LastpositionOfChar(F88,"-")-LEN(".out"))</f>
        <v>g16384_s64_n16777216_t</v>
      </c>
      <c r="H88" t="str">
        <f t="shared" si="2"/>
        <v>genome g16384_s64_n16777216_t</v>
      </c>
      <c r="I88" t="str">
        <f t="shared" si="3"/>
        <v>Alg1</v>
      </c>
    </row>
    <row r="89" spans="1:9" x14ac:dyDescent="0.45">
      <c r="A89" t="s">
        <v>17</v>
      </c>
      <c r="B89" t="s">
        <v>1</v>
      </c>
      <c r="C89">
        <v>8</v>
      </c>
      <c r="D89">
        <v>0</v>
      </c>
      <c r="E89">
        <v>70.455867999999995</v>
      </c>
      <c r="F89" t="s">
        <v>107</v>
      </c>
      <c r="G89" t="str">
        <f>MID(F89,LastpositionOfChar(F89,"-")+1,LEN(F89)-LastpositionOfChar(F89,"-")-LEN(".out"))</f>
        <v>g16384_s64_n16777216_t</v>
      </c>
      <c r="H89" t="str">
        <f t="shared" si="2"/>
        <v>genome g16384_s64_n16777216_t</v>
      </c>
      <c r="I89" t="str">
        <f t="shared" si="3"/>
        <v>Alg1</v>
      </c>
    </row>
    <row r="90" spans="1:9" x14ac:dyDescent="0.45">
      <c r="A90" t="s">
        <v>22</v>
      </c>
      <c r="B90" t="s">
        <v>1</v>
      </c>
      <c r="C90">
        <v>1</v>
      </c>
      <c r="D90">
        <v>0</v>
      </c>
      <c r="F90" t="s">
        <v>108</v>
      </c>
      <c r="G90" t="str">
        <f>MID(F90,LastpositionOfChar(F90,"-")+1,LEN(F90)-LastpositionOfChar(F90,"-")-LEN(".out"))</f>
        <v>a10_l128_n262144_s1_t</v>
      </c>
      <c r="H90" t="str">
        <f t="shared" si="2"/>
        <v>intruder a10_l128_n262144_s1_t</v>
      </c>
      <c r="I90" t="str">
        <f t="shared" si="3"/>
        <v>Alg1</v>
      </c>
    </row>
    <row r="91" spans="1:9" x14ac:dyDescent="0.45">
      <c r="A91" t="s">
        <v>22</v>
      </c>
      <c r="B91" t="s">
        <v>1</v>
      </c>
      <c r="C91">
        <v>2</v>
      </c>
      <c r="D91">
        <v>0</v>
      </c>
      <c r="F91" t="s">
        <v>109</v>
      </c>
      <c r="G91" t="str">
        <f>MID(F91,LastpositionOfChar(F91,"-")+1,LEN(F91)-LastpositionOfChar(F91,"-")-LEN(".out"))</f>
        <v>a10_l128_n262144_s1_t</v>
      </c>
      <c r="H91" t="str">
        <f t="shared" si="2"/>
        <v>intruder a10_l128_n262144_s1_t</v>
      </c>
      <c r="I91" t="str">
        <f t="shared" si="3"/>
        <v>Alg1</v>
      </c>
    </row>
    <row r="92" spans="1:9" x14ac:dyDescent="0.45">
      <c r="A92" t="s">
        <v>22</v>
      </c>
      <c r="B92" t="s">
        <v>1</v>
      </c>
      <c r="C92">
        <v>4</v>
      </c>
      <c r="D92">
        <v>0</v>
      </c>
      <c r="F92" t="s">
        <v>110</v>
      </c>
      <c r="G92" t="str">
        <f>MID(F92,LastpositionOfChar(F92,"-")+1,LEN(F92)-LastpositionOfChar(F92,"-")-LEN(".out"))</f>
        <v>a10_l128_n262144_s1_t</v>
      </c>
      <c r="H92" t="str">
        <f t="shared" si="2"/>
        <v>intruder a10_l128_n262144_s1_t</v>
      </c>
      <c r="I92" t="str">
        <f t="shared" si="3"/>
        <v>Alg1</v>
      </c>
    </row>
    <row r="93" spans="1:9" x14ac:dyDescent="0.45">
      <c r="A93" t="s">
        <v>22</v>
      </c>
      <c r="B93" t="s">
        <v>1</v>
      </c>
      <c r="C93">
        <v>8</v>
      </c>
      <c r="D93">
        <v>0</v>
      </c>
      <c r="F93" t="s">
        <v>111</v>
      </c>
      <c r="G93" t="str">
        <f>MID(F93,LastpositionOfChar(F93,"-")+1,LEN(F93)-LastpositionOfChar(F93,"-")-LEN(".out"))</f>
        <v>a10_l128_n262144_s1_t</v>
      </c>
      <c r="H93" t="str">
        <f t="shared" si="2"/>
        <v>intruder a10_l128_n262144_s1_t</v>
      </c>
      <c r="I93" t="str">
        <f t="shared" si="3"/>
        <v>Alg1</v>
      </c>
    </row>
    <row r="94" spans="1:9" x14ac:dyDescent="0.45">
      <c r="A94" t="s">
        <v>27</v>
      </c>
      <c r="B94" t="s">
        <v>1</v>
      </c>
      <c r="C94">
        <v>1</v>
      </c>
      <c r="D94">
        <v>0</v>
      </c>
      <c r="E94">
        <v>8.1160700000000006</v>
      </c>
      <c r="F94" t="s">
        <v>112</v>
      </c>
      <c r="G94" t="str">
        <f>MID(F94,LastpositionOfChar(F94,"-")+1,LEN(F94)-LastpositionOfChar(F94,"-")-LEN(".out"))</f>
        <v>m40_n40_t0</v>
      </c>
      <c r="H94" t="str">
        <f t="shared" si="2"/>
        <v>kmeans m40_n40_t0</v>
      </c>
      <c r="I94" t="str">
        <f t="shared" si="3"/>
        <v>Alg1</v>
      </c>
    </row>
    <row r="95" spans="1:9" x14ac:dyDescent="0.45">
      <c r="A95" t="s">
        <v>27</v>
      </c>
      <c r="B95" t="s">
        <v>1</v>
      </c>
      <c r="C95">
        <v>2</v>
      </c>
      <c r="D95">
        <v>0</v>
      </c>
      <c r="E95">
        <v>4.6396800000000002</v>
      </c>
      <c r="F95" t="s">
        <v>113</v>
      </c>
      <c r="G95" t="str">
        <f>MID(F95,LastpositionOfChar(F95,"-")+1,LEN(F95)-LastpositionOfChar(F95,"-")-LEN(".out"))</f>
        <v>m40_n40_t0</v>
      </c>
      <c r="H95" t="str">
        <f t="shared" si="2"/>
        <v>kmeans m40_n40_t0</v>
      </c>
      <c r="I95" t="str">
        <f t="shared" si="3"/>
        <v>Alg1</v>
      </c>
    </row>
    <row r="96" spans="1:9" x14ac:dyDescent="0.45">
      <c r="A96" t="s">
        <v>27</v>
      </c>
      <c r="B96" t="s">
        <v>1</v>
      </c>
      <c r="C96">
        <v>4</v>
      </c>
      <c r="D96">
        <v>0</v>
      </c>
      <c r="E96">
        <v>3.2542399999999998</v>
      </c>
      <c r="F96" t="s">
        <v>114</v>
      </c>
      <c r="G96" t="str">
        <f>MID(F96,LastpositionOfChar(F96,"-")+1,LEN(F96)-LastpositionOfChar(F96,"-")-LEN(".out"))</f>
        <v>m40_n40_t0</v>
      </c>
      <c r="H96" t="str">
        <f t="shared" si="2"/>
        <v>kmeans m40_n40_t0</v>
      </c>
      <c r="I96" t="str">
        <f t="shared" si="3"/>
        <v>Alg1</v>
      </c>
    </row>
    <row r="97" spans="1:9" x14ac:dyDescent="0.45">
      <c r="A97" t="s">
        <v>27</v>
      </c>
      <c r="B97" t="s">
        <v>1</v>
      </c>
      <c r="C97">
        <v>8</v>
      </c>
      <c r="D97">
        <v>0</v>
      </c>
      <c r="E97">
        <v>4.5011200000000002</v>
      </c>
      <c r="F97" t="s">
        <v>115</v>
      </c>
      <c r="G97" t="str">
        <f>MID(F97,LastpositionOfChar(F97,"-")+1,LEN(F97)-LastpositionOfChar(F97,"-")-LEN(".out"))</f>
        <v>m40_n40_t0</v>
      </c>
      <c r="H97" t="str">
        <f t="shared" si="2"/>
        <v>kmeans m40_n40_t0</v>
      </c>
      <c r="I97" t="str">
        <f t="shared" si="3"/>
        <v>Alg1</v>
      </c>
    </row>
    <row r="98" spans="1:9" x14ac:dyDescent="0.45">
      <c r="A98" t="s">
        <v>27</v>
      </c>
      <c r="B98" t="s">
        <v>1</v>
      </c>
      <c r="C98">
        <v>1</v>
      </c>
      <c r="D98">
        <v>0</v>
      </c>
      <c r="E98">
        <v>1.7886899999999999</v>
      </c>
      <c r="F98" t="s">
        <v>116</v>
      </c>
      <c r="G98" t="str">
        <f>MID(F98,LastpositionOfChar(F98,"-")+1,LEN(F98)-LastpositionOfChar(F98,"-")-LEN(".out"))</f>
        <v>m15_n15_t0</v>
      </c>
      <c r="H98" t="str">
        <f t="shared" si="2"/>
        <v>kmeans m15_n15_t0</v>
      </c>
      <c r="I98" t="str">
        <f t="shared" si="3"/>
        <v>Alg1</v>
      </c>
    </row>
    <row r="99" spans="1:9" x14ac:dyDescent="0.45">
      <c r="A99" t="s">
        <v>27</v>
      </c>
      <c r="B99" t="s">
        <v>1</v>
      </c>
      <c r="C99">
        <v>2</v>
      </c>
      <c r="D99">
        <v>0</v>
      </c>
      <c r="E99">
        <v>1.87886</v>
      </c>
      <c r="F99" t="s">
        <v>117</v>
      </c>
      <c r="G99" t="str">
        <f>MID(F99,LastpositionOfChar(F99,"-")+1,LEN(F99)-LastpositionOfChar(F99,"-")-LEN(".out"))</f>
        <v>m15_n15_t0</v>
      </c>
      <c r="H99" t="str">
        <f t="shared" si="2"/>
        <v>kmeans m15_n15_t0</v>
      </c>
      <c r="I99" t="str">
        <f t="shared" si="3"/>
        <v>Alg1</v>
      </c>
    </row>
    <row r="100" spans="1:9" x14ac:dyDescent="0.45">
      <c r="A100" t="s">
        <v>27</v>
      </c>
      <c r="B100" t="s">
        <v>1</v>
      </c>
      <c r="C100">
        <v>4</v>
      </c>
      <c r="D100">
        <v>0</v>
      </c>
      <c r="E100">
        <v>2.7387000000000001</v>
      </c>
      <c r="F100" t="s">
        <v>118</v>
      </c>
      <c r="G100" t="str">
        <f>MID(F100,LastpositionOfChar(F100,"-")+1,LEN(F100)-LastpositionOfChar(F100,"-")-LEN(".out"))</f>
        <v>m15_n15_t0</v>
      </c>
      <c r="H100" t="str">
        <f t="shared" si="2"/>
        <v>kmeans m15_n15_t0</v>
      </c>
      <c r="I100" t="str">
        <f t="shared" si="3"/>
        <v>Alg1</v>
      </c>
    </row>
    <row r="101" spans="1:9" x14ac:dyDescent="0.45">
      <c r="A101" t="s">
        <v>27</v>
      </c>
      <c r="B101" t="s">
        <v>1</v>
      </c>
      <c r="C101">
        <v>8</v>
      </c>
      <c r="D101">
        <v>0</v>
      </c>
      <c r="E101">
        <v>2.3101699999999998</v>
      </c>
      <c r="F101" t="s">
        <v>119</v>
      </c>
      <c r="G101" t="str">
        <f>MID(F101,LastpositionOfChar(F101,"-")+1,LEN(F101)-LastpositionOfChar(F101,"-")-LEN(".out"))</f>
        <v>m15_n15_t0</v>
      </c>
      <c r="H101" t="str">
        <f t="shared" si="2"/>
        <v>kmeans m15_n15_t0</v>
      </c>
      <c r="I101" t="str">
        <f t="shared" si="3"/>
        <v>Alg1</v>
      </c>
    </row>
    <row r="102" spans="1:9" x14ac:dyDescent="0.45">
      <c r="A102" t="s">
        <v>36</v>
      </c>
      <c r="B102" t="s">
        <v>1</v>
      </c>
      <c r="C102">
        <v>1</v>
      </c>
      <c r="D102">
        <v>0</v>
      </c>
      <c r="E102">
        <v>64.137285000000006</v>
      </c>
      <c r="F102" t="s">
        <v>120</v>
      </c>
      <c r="G102" t="str">
        <f>MID(F102,LastpositionOfChar(F102,"-")+1,LEN(F102)-LastpositionOfChar(F102,"-")-LEN(".out"))</f>
        <v>i_</v>
      </c>
      <c r="H102" t="str">
        <f t="shared" si="2"/>
        <v>labyrinth i_</v>
      </c>
      <c r="I102" t="str">
        <f t="shared" si="3"/>
        <v>Alg1</v>
      </c>
    </row>
    <row r="103" spans="1:9" x14ac:dyDescent="0.45">
      <c r="A103" t="s">
        <v>36</v>
      </c>
      <c r="B103" t="s">
        <v>1</v>
      </c>
      <c r="C103">
        <v>2</v>
      </c>
      <c r="D103">
        <v>0</v>
      </c>
      <c r="E103">
        <v>198.40885399999999</v>
      </c>
      <c r="F103" t="s">
        <v>121</v>
      </c>
      <c r="G103" t="str">
        <f>MID(F103,LastpositionOfChar(F103,"-")+1,LEN(F103)-LastpositionOfChar(F103,"-")-LEN(".out"))</f>
        <v>i_</v>
      </c>
      <c r="H103" t="str">
        <f t="shared" si="2"/>
        <v>labyrinth i_</v>
      </c>
      <c r="I103" t="str">
        <f t="shared" si="3"/>
        <v>Alg1</v>
      </c>
    </row>
    <row r="104" spans="1:9" x14ac:dyDescent="0.45">
      <c r="A104" t="s">
        <v>36</v>
      </c>
      <c r="B104" t="s">
        <v>1</v>
      </c>
      <c r="C104">
        <v>4</v>
      </c>
      <c r="D104">
        <v>0</v>
      </c>
      <c r="E104">
        <v>207.92846</v>
      </c>
      <c r="F104" t="s">
        <v>122</v>
      </c>
      <c r="G104" t="str">
        <f>MID(F104,LastpositionOfChar(F104,"-")+1,LEN(F104)-LastpositionOfChar(F104,"-")-LEN(".out"))</f>
        <v>i_</v>
      </c>
      <c r="H104" t="str">
        <f t="shared" si="2"/>
        <v>labyrinth i_</v>
      </c>
      <c r="I104" t="str">
        <f t="shared" si="3"/>
        <v>Alg1</v>
      </c>
    </row>
    <row r="105" spans="1:9" x14ac:dyDescent="0.45">
      <c r="A105" t="s">
        <v>36</v>
      </c>
      <c r="B105" t="s">
        <v>1</v>
      </c>
      <c r="C105">
        <v>8</v>
      </c>
      <c r="D105">
        <v>0</v>
      </c>
      <c r="E105">
        <v>199.059797</v>
      </c>
      <c r="F105" t="s">
        <v>123</v>
      </c>
      <c r="G105" t="str">
        <f>MID(F105,LastpositionOfChar(F105,"-")+1,LEN(F105)-LastpositionOfChar(F105,"-")-LEN(".out"))</f>
        <v>i_</v>
      </c>
      <c r="H105" t="str">
        <f t="shared" si="2"/>
        <v>labyrinth i_</v>
      </c>
      <c r="I105" t="str">
        <f t="shared" si="3"/>
        <v>Alg1</v>
      </c>
    </row>
    <row r="106" spans="1:9" x14ac:dyDescent="0.45">
      <c r="A106" t="s">
        <v>41</v>
      </c>
      <c r="B106" t="s">
        <v>1</v>
      </c>
      <c r="C106">
        <v>1</v>
      </c>
      <c r="D106">
        <v>0</v>
      </c>
      <c r="E106">
        <v>12.122363</v>
      </c>
      <c r="F106" t="s">
        <v>124</v>
      </c>
      <c r="G106" t="str">
        <f>MID(F106,LastpositionOfChar(F106,"-")+1,LEN(F106)-LastpositionOfChar(F106,"-")-LEN(".out"))</f>
        <v>s20_i1</v>
      </c>
      <c r="H106" t="str">
        <f t="shared" si="2"/>
        <v>ssca2 s20_i1</v>
      </c>
      <c r="I106" t="str">
        <f t="shared" si="3"/>
        <v>Alg1</v>
      </c>
    </row>
    <row r="107" spans="1:9" x14ac:dyDescent="0.45">
      <c r="A107" t="s">
        <v>41</v>
      </c>
      <c r="B107" t="s">
        <v>1</v>
      </c>
      <c r="C107">
        <v>2</v>
      </c>
      <c r="D107">
        <v>0</v>
      </c>
      <c r="E107">
        <v>14.439088</v>
      </c>
      <c r="F107" t="s">
        <v>125</v>
      </c>
      <c r="G107" t="str">
        <f>MID(F107,LastpositionOfChar(F107,"-")+1,LEN(F107)-LastpositionOfChar(F107,"-")-LEN(".out"))</f>
        <v>s20_i1</v>
      </c>
      <c r="H107" t="str">
        <f t="shared" si="2"/>
        <v>ssca2 s20_i1</v>
      </c>
      <c r="I107" t="str">
        <f t="shared" si="3"/>
        <v>Alg1</v>
      </c>
    </row>
    <row r="108" spans="1:9" x14ac:dyDescent="0.45">
      <c r="A108" t="s">
        <v>41</v>
      </c>
      <c r="B108" t="s">
        <v>1</v>
      </c>
      <c r="C108">
        <v>4</v>
      </c>
      <c r="D108">
        <v>0</v>
      </c>
      <c r="E108">
        <v>14.070788</v>
      </c>
      <c r="F108" t="s">
        <v>126</v>
      </c>
      <c r="G108" t="str">
        <f>MID(F108,LastpositionOfChar(F108,"-")+1,LEN(F108)-LastpositionOfChar(F108,"-")-LEN(".out"))</f>
        <v>s20_i1</v>
      </c>
      <c r="H108" t="str">
        <f t="shared" si="2"/>
        <v>ssca2 s20_i1</v>
      </c>
      <c r="I108" t="str">
        <f t="shared" si="3"/>
        <v>Alg1</v>
      </c>
    </row>
    <row r="109" spans="1:9" x14ac:dyDescent="0.45">
      <c r="A109" t="s">
        <v>41</v>
      </c>
      <c r="B109" t="s">
        <v>1</v>
      </c>
      <c r="C109">
        <v>8</v>
      </c>
      <c r="D109">
        <v>0</v>
      </c>
      <c r="E109">
        <v>13.507353999999999</v>
      </c>
      <c r="F109" t="s">
        <v>127</v>
      </c>
      <c r="G109" t="str">
        <f>MID(F109,LastpositionOfChar(F109,"-")+1,LEN(F109)-LastpositionOfChar(F109,"-")-LEN(".out"))</f>
        <v>s20_i1</v>
      </c>
      <c r="H109" t="str">
        <f t="shared" si="2"/>
        <v>ssca2 s20_i1</v>
      </c>
      <c r="I109" t="str">
        <f t="shared" si="3"/>
        <v>Alg1</v>
      </c>
    </row>
    <row r="110" spans="1:9" x14ac:dyDescent="0.45">
      <c r="A110" t="s">
        <v>46</v>
      </c>
      <c r="B110" t="s">
        <v>1</v>
      </c>
      <c r="C110">
        <v>1</v>
      </c>
      <c r="D110">
        <v>0</v>
      </c>
      <c r="F110" t="s">
        <v>128</v>
      </c>
      <c r="G110" t="str">
        <f>MID(F110,LastpositionOfChar(F110,"-")+1,LEN(F110)-LastpositionOfChar(F110,"-")-LEN(".out"))</f>
        <v>n2_q90_u98_r1048576_t4194304_c</v>
      </c>
      <c r="H110" t="str">
        <f t="shared" si="2"/>
        <v>vacation n2_q90_u98_r1048576_t4194304_c</v>
      </c>
      <c r="I110" t="str">
        <f t="shared" si="3"/>
        <v>Alg1</v>
      </c>
    </row>
    <row r="111" spans="1:9" x14ac:dyDescent="0.45">
      <c r="A111" t="s">
        <v>46</v>
      </c>
      <c r="B111" t="s">
        <v>1</v>
      </c>
      <c r="C111">
        <v>2</v>
      </c>
      <c r="D111">
        <v>0</v>
      </c>
      <c r="F111" t="s">
        <v>129</v>
      </c>
      <c r="G111" t="str">
        <f>MID(F111,LastpositionOfChar(F111,"-")+1,LEN(F111)-LastpositionOfChar(F111,"-")-LEN(".out"))</f>
        <v>n2_q90_u98_r1048576_t4194304_c</v>
      </c>
      <c r="H111" t="str">
        <f t="shared" si="2"/>
        <v>vacation n2_q90_u98_r1048576_t4194304_c</v>
      </c>
      <c r="I111" t="str">
        <f t="shared" si="3"/>
        <v>Alg1</v>
      </c>
    </row>
    <row r="112" spans="1:9" x14ac:dyDescent="0.45">
      <c r="A112" t="s">
        <v>46</v>
      </c>
      <c r="B112" t="s">
        <v>1</v>
      </c>
      <c r="C112">
        <v>4</v>
      </c>
      <c r="D112">
        <v>0</v>
      </c>
      <c r="F112" t="s">
        <v>130</v>
      </c>
      <c r="G112" t="str">
        <f>MID(F112,LastpositionOfChar(F112,"-")+1,LEN(F112)-LastpositionOfChar(F112,"-")-LEN(".out"))</f>
        <v>n2_q90_u98_r1048576_t4194304_c</v>
      </c>
      <c r="H112" t="str">
        <f t="shared" si="2"/>
        <v>vacation n2_q90_u98_r1048576_t4194304_c</v>
      </c>
      <c r="I112" t="str">
        <f t="shared" si="3"/>
        <v>Alg1</v>
      </c>
    </row>
    <row r="113" spans="1:9" x14ac:dyDescent="0.45">
      <c r="A113" t="s">
        <v>46</v>
      </c>
      <c r="B113" t="s">
        <v>1</v>
      </c>
      <c r="C113">
        <v>8</v>
      </c>
      <c r="D113">
        <v>0</v>
      </c>
      <c r="F113" t="s">
        <v>131</v>
      </c>
      <c r="G113" t="str">
        <f>MID(F113,LastpositionOfChar(F113,"-")+1,LEN(F113)-LastpositionOfChar(F113,"-")-LEN(".out"))</f>
        <v>n2_q90_u98_r1048576_t4194304_c</v>
      </c>
      <c r="H113" t="str">
        <f t="shared" si="2"/>
        <v>vacation n2_q90_u98_r1048576_t4194304_c</v>
      </c>
      <c r="I113" t="str">
        <f t="shared" si="3"/>
        <v>Alg1</v>
      </c>
    </row>
    <row r="114" spans="1:9" x14ac:dyDescent="0.45">
      <c r="A114" t="s">
        <v>46</v>
      </c>
      <c r="B114" t="s">
        <v>1</v>
      </c>
      <c r="C114">
        <v>1</v>
      </c>
      <c r="D114">
        <v>0</v>
      </c>
      <c r="F114" t="s">
        <v>132</v>
      </c>
      <c r="G114" t="str">
        <f>MID(F114,LastpositionOfChar(F114,"-")+1,LEN(F114)-LastpositionOfChar(F114,"-")-LEN(".out"))</f>
        <v>n4_q60_u90_r1048576_t4194304_c</v>
      </c>
      <c r="H114" t="str">
        <f t="shared" si="2"/>
        <v>vacation n4_q60_u90_r1048576_t4194304_c</v>
      </c>
      <c r="I114" t="str">
        <f t="shared" si="3"/>
        <v>Alg1</v>
      </c>
    </row>
    <row r="115" spans="1:9" x14ac:dyDescent="0.45">
      <c r="A115" t="s">
        <v>46</v>
      </c>
      <c r="B115" t="s">
        <v>1</v>
      </c>
      <c r="C115">
        <v>2</v>
      </c>
      <c r="D115">
        <v>0</v>
      </c>
      <c r="F115" t="s">
        <v>133</v>
      </c>
      <c r="G115" t="str">
        <f>MID(F115,LastpositionOfChar(F115,"-")+1,LEN(F115)-LastpositionOfChar(F115,"-")-LEN(".out"))</f>
        <v>n4_q60_u90_r1048576_t4194304_c</v>
      </c>
      <c r="H115" t="str">
        <f t="shared" si="2"/>
        <v>vacation n4_q60_u90_r1048576_t4194304_c</v>
      </c>
      <c r="I115" t="str">
        <f t="shared" si="3"/>
        <v>Alg1</v>
      </c>
    </row>
    <row r="116" spans="1:9" x14ac:dyDescent="0.45">
      <c r="A116" t="s">
        <v>46</v>
      </c>
      <c r="B116" t="s">
        <v>1</v>
      </c>
      <c r="C116">
        <v>4</v>
      </c>
      <c r="D116">
        <v>0</v>
      </c>
      <c r="F116" t="s">
        <v>134</v>
      </c>
      <c r="G116" t="str">
        <f>MID(F116,LastpositionOfChar(F116,"-")+1,LEN(F116)-LastpositionOfChar(F116,"-")-LEN(".out"))</f>
        <v>n4_q60_u90_r1048576_t4194304_c</v>
      </c>
      <c r="H116" t="str">
        <f t="shared" si="2"/>
        <v>vacation n4_q60_u90_r1048576_t4194304_c</v>
      </c>
      <c r="I116" t="str">
        <f t="shared" si="3"/>
        <v>Alg1</v>
      </c>
    </row>
    <row r="117" spans="1:9" x14ac:dyDescent="0.45">
      <c r="A117" t="s">
        <v>46</v>
      </c>
      <c r="B117" t="s">
        <v>1</v>
      </c>
      <c r="C117">
        <v>8</v>
      </c>
      <c r="D117">
        <v>0</v>
      </c>
      <c r="F117" t="s">
        <v>135</v>
      </c>
      <c r="G117" t="str">
        <f>MID(F117,LastpositionOfChar(F117,"-")+1,LEN(F117)-LastpositionOfChar(F117,"-")-LEN(".out"))</f>
        <v>n4_q60_u90_r1048576_t4194304_c</v>
      </c>
      <c r="H117" t="str">
        <f t="shared" si="2"/>
        <v>vacation n4_q60_u90_r1048576_t4194304_c</v>
      </c>
      <c r="I117" t="str">
        <f t="shared" si="3"/>
        <v>Alg1</v>
      </c>
    </row>
    <row r="118" spans="1:9" x14ac:dyDescent="0.45">
      <c r="A118" t="s">
        <v>55</v>
      </c>
      <c r="B118" t="s">
        <v>1</v>
      </c>
      <c r="C118">
        <v>1</v>
      </c>
      <c r="D118">
        <v>0</v>
      </c>
      <c r="F118" t="s">
        <v>136</v>
      </c>
      <c r="G118" t="str">
        <f>MID(F118,LastpositionOfChar(F118,"-")+1,LEN(F118)-LastpositionOfChar(F118,"-")-LEN(".out"))</f>
        <v>a15_i_</v>
      </c>
      <c r="H118" t="str">
        <f t="shared" si="2"/>
        <v>yada a15_i_</v>
      </c>
      <c r="I118" t="str">
        <f t="shared" si="3"/>
        <v>Alg1</v>
      </c>
    </row>
    <row r="119" spans="1:9" x14ac:dyDescent="0.45">
      <c r="A119" t="s">
        <v>55</v>
      </c>
      <c r="B119" t="s">
        <v>1</v>
      </c>
      <c r="C119">
        <v>2</v>
      </c>
      <c r="D119">
        <v>0</v>
      </c>
      <c r="F119" t="s">
        <v>137</v>
      </c>
      <c r="G119" t="str">
        <f>MID(F119,LastpositionOfChar(F119,"-")+1,LEN(F119)-LastpositionOfChar(F119,"-")-LEN(".out"))</f>
        <v>a15_i_</v>
      </c>
      <c r="H119" t="str">
        <f t="shared" si="2"/>
        <v>yada a15_i_</v>
      </c>
      <c r="I119" t="str">
        <f t="shared" si="3"/>
        <v>Alg1</v>
      </c>
    </row>
    <row r="120" spans="1:9" x14ac:dyDescent="0.45">
      <c r="A120" t="s">
        <v>55</v>
      </c>
      <c r="B120" t="s">
        <v>1</v>
      </c>
      <c r="C120">
        <v>4</v>
      </c>
      <c r="D120">
        <v>0</v>
      </c>
      <c r="F120" t="s">
        <v>138</v>
      </c>
      <c r="G120" t="str">
        <f>MID(F120,LastpositionOfChar(F120,"-")+1,LEN(F120)-LastpositionOfChar(F120,"-")-LEN(".out"))</f>
        <v>a15_i_</v>
      </c>
      <c r="H120" t="str">
        <f t="shared" si="2"/>
        <v>yada a15_i_</v>
      </c>
      <c r="I120" t="str">
        <f t="shared" si="3"/>
        <v>Alg1</v>
      </c>
    </row>
    <row r="121" spans="1:9" x14ac:dyDescent="0.45">
      <c r="A121" t="s">
        <v>55</v>
      </c>
      <c r="B121" t="s">
        <v>1</v>
      </c>
      <c r="C121">
        <v>8</v>
      </c>
      <c r="D121">
        <v>0</v>
      </c>
      <c r="F121" t="s">
        <v>139</v>
      </c>
      <c r="G121" t="str">
        <f>MID(F121,LastpositionOfChar(F121,"-")+1,LEN(F121)-LastpositionOfChar(F121,"-")-LEN(".out"))</f>
        <v>a15_i_</v>
      </c>
      <c r="H121" t="str">
        <f t="shared" si="2"/>
        <v>yada a15_i_</v>
      </c>
      <c r="I121" t="str">
        <f t="shared" si="3"/>
        <v>Alg1</v>
      </c>
    </row>
    <row r="122" spans="1:9" x14ac:dyDescent="0.45">
      <c r="A122" t="s">
        <v>12</v>
      </c>
      <c r="B122" t="s">
        <v>140</v>
      </c>
      <c r="C122">
        <v>1</v>
      </c>
      <c r="D122">
        <v>0</v>
      </c>
      <c r="E122">
        <v>31.041799999999999</v>
      </c>
      <c r="F122" t="s">
        <v>141</v>
      </c>
      <c r="G122" t="str">
        <f>MID(F122,LastpositionOfChar(F122,"-")+1,LEN(F122)-LastpositionOfChar(F122,"-")-LEN(".out"))</f>
        <v>v32_r4096_n10_p40_i2_e8_s1_t</v>
      </c>
      <c r="H122" t="str">
        <f t="shared" si="2"/>
        <v>bayes v32_r4096_n10_p40_i2_e8_s1_t</v>
      </c>
      <c r="I122" t="str">
        <f t="shared" si="3"/>
        <v>Alg1 s/w</v>
      </c>
    </row>
    <row r="123" spans="1:9" x14ac:dyDescent="0.45">
      <c r="A123" t="s">
        <v>12</v>
      </c>
      <c r="B123" t="s">
        <v>140</v>
      </c>
      <c r="C123">
        <v>2</v>
      </c>
      <c r="D123">
        <v>0</v>
      </c>
      <c r="E123">
        <v>56.553199999999997</v>
      </c>
      <c r="F123" t="s">
        <v>142</v>
      </c>
      <c r="G123" t="str">
        <f>MID(F123,LastpositionOfChar(F123,"-")+1,LEN(F123)-LastpositionOfChar(F123,"-")-LEN(".out"))</f>
        <v>v32_r4096_n10_p40_i2_e8_s1_t</v>
      </c>
      <c r="H123" t="str">
        <f t="shared" si="2"/>
        <v>bayes v32_r4096_n10_p40_i2_e8_s1_t</v>
      </c>
      <c r="I123" t="str">
        <f t="shared" si="3"/>
        <v>Alg1 s/w</v>
      </c>
    </row>
    <row r="124" spans="1:9" x14ac:dyDescent="0.45">
      <c r="A124" t="s">
        <v>12</v>
      </c>
      <c r="B124" t="s">
        <v>140</v>
      </c>
      <c r="C124">
        <v>4</v>
      </c>
      <c r="D124">
        <v>0</v>
      </c>
      <c r="E124">
        <v>68.234300000000005</v>
      </c>
      <c r="F124" t="s">
        <v>143</v>
      </c>
      <c r="G124" t="str">
        <f>MID(F124,LastpositionOfChar(F124,"-")+1,LEN(F124)-LastpositionOfChar(F124,"-")-LEN(".out"))</f>
        <v>v32_r4096_n10_p40_i2_e8_s1_t</v>
      </c>
      <c r="H124" t="str">
        <f t="shared" si="2"/>
        <v>bayes v32_r4096_n10_p40_i2_e8_s1_t</v>
      </c>
      <c r="I124" t="str">
        <f t="shared" si="3"/>
        <v>Alg1 s/w</v>
      </c>
    </row>
    <row r="125" spans="1:9" x14ac:dyDescent="0.45">
      <c r="A125" t="s">
        <v>12</v>
      </c>
      <c r="B125" t="s">
        <v>140</v>
      </c>
      <c r="C125">
        <v>8</v>
      </c>
      <c r="D125">
        <v>0</v>
      </c>
      <c r="E125">
        <v>52.200600000000001</v>
      </c>
      <c r="F125" t="s">
        <v>144</v>
      </c>
      <c r="G125" t="str">
        <f>MID(F125,LastpositionOfChar(F125,"-")+1,LEN(F125)-LastpositionOfChar(F125,"-")-LEN(".out"))</f>
        <v>v32_r4096_n10_p40_i2_e8_s1_t</v>
      </c>
      <c r="H125" t="str">
        <f t="shared" si="2"/>
        <v>bayes v32_r4096_n10_p40_i2_e8_s1_t</v>
      </c>
      <c r="I125" t="str">
        <f t="shared" si="3"/>
        <v>Alg1 s/w</v>
      </c>
    </row>
    <row r="126" spans="1:9" x14ac:dyDescent="0.45">
      <c r="A126" t="s">
        <v>17</v>
      </c>
      <c r="B126" t="s">
        <v>140</v>
      </c>
      <c r="C126">
        <v>1</v>
      </c>
      <c r="D126">
        <v>0</v>
      </c>
      <c r="E126">
        <v>230.29638399999999</v>
      </c>
      <c r="F126" t="s">
        <v>145</v>
      </c>
      <c r="G126" t="str">
        <f>MID(F126,LastpositionOfChar(F126,"-")+1,LEN(F126)-LastpositionOfChar(F126,"-")-LEN(".out"))</f>
        <v>g16384_s64_n16777216_t</v>
      </c>
      <c r="H126" t="str">
        <f t="shared" si="2"/>
        <v>genome g16384_s64_n16777216_t</v>
      </c>
      <c r="I126" t="str">
        <f t="shared" si="3"/>
        <v>Alg1 s/w</v>
      </c>
    </row>
    <row r="127" spans="1:9" x14ac:dyDescent="0.45">
      <c r="A127" t="s">
        <v>17</v>
      </c>
      <c r="B127" t="s">
        <v>140</v>
      </c>
      <c r="C127">
        <v>2</v>
      </c>
      <c r="D127">
        <v>0</v>
      </c>
      <c r="E127">
        <v>162.52689799999999</v>
      </c>
      <c r="F127" t="s">
        <v>146</v>
      </c>
      <c r="G127" t="str">
        <f>MID(F127,LastpositionOfChar(F127,"-")+1,LEN(F127)-LastpositionOfChar(F127,"-")-LEN(".out"))</f>
        <v>g16384_s64_n16777216_t</v>
      </c>
      <c r="H127" t="str">
        <f t="shared" si="2"/>
        <v>genome g16384_s64_n16777216_t</v>
      </c>
      <c r="I127" t="str">
        <f t="shared" si="3"/>
        <v>Alg1 s/w</v>
      </c>
    </row>
    <row r="128" spans="1:9" x14ac:dyDescent="0.45">
      <c r="A128" t="s">
        <v>17</v>
      </c>
      <c r="B128" t="s">
        <v>140</v>
      </c>
      <c r="C128">
        <v>4</v>
      </c>
      <c r="D128">
        <v>0</v>
      </c>
      <c r="E128">
        <v>98.009314000000003</v>
      </c>
      <c r="F128" t="s">
        <v>147</v>
      </c>
      <c r="G128" t="str">
        <f>MID(F128,LastpositionOfChar(F128,"-")+1,LEN(F128)-LastpositionOfChar(F128,"-")-LEN(".out"))</f>
        <v>g16384_s64_n16777216_t</v>
      </c>
      <c r="H128" t="str">
        <f t="shared" si="2"/>
        <v>genome g16384_s64_n16777216_t</v>
      </c>
      <c r="I128" t="str">
        <f t="shared" si="3"/>
        <v>Alg1 s/w</v>
      </c>
    </row>
    <row r="129" spans="1:9" x14ac:dyDescent="0.45">
      <c r="A129" t="s">
        <v>17</v>
      </c>
      <c r="B129" t="s">
        <v>140</v>
      </c>
      <c r="C129">
        <v>8</v>
      </c>
      <c r="D129">
        <v>0</v>
      </c>
      <c r="E129">
        <v>87.813604999999995</v>
      </c>
      <c r="F129" t="s">
        <v>148</v>
      </c>
      <c r="G129" t="str">
        <f>MID(F129,LastpositionOfChar(F129,"-")+1,LEN(F129)-LastpositionOfChar(F129,"-")-LEN(".out"))</f>
        <v>g16384_s64_n16777216_t</v>
      </c>
      <c r="H129" t="str">
        <f t="shared" si="2"/>
        <v>genome g16384_s64_n16777216_t</v>
      </c>
      <c r="I129" t="str">
        <f t="shared" si="3"/>
        <v>Alg1 s/w</v>
      </c>
    </row>
    <row r="130" spans="1:9" x14ac:dyDescent="0.45">
      <c r="A130" t="s">
        <v>22</v>
      </c>
      <c r="B130" t="s">
        <v>140</v>
      </c>
      <c r="C130">
        <v>1</v>
      </c>
      <c r="D130">
        <v>0</v>
      </c>
      <c r="F130" t="s">
        <v>149</v>
      </c>
      <c r="G130" t="str">
        <f>MID(F130,LastpositionOfChar(F130,"-")+1,LEN(F130)-LastpositionOfChar(F130,"-")-LEN(".out"))</f>
        <v>a10_l128_n262144_s1_t</v>
      </c>
      <c r="H130" t="str">
        <f t="shared" si="2"/>
        <v>intruder a10_l128_n262144_s1_t</v>
      </c>
      <c r="I130" t="str">
        <f t="shared" si="3"/>
        <v>Alg1 s/w</v>
      </c>
    </row>
    <row r="131" spans="1:9" x14ac:dyDescent="0.45">
      <c r="A131" t="s">
        <v>22</v>
      </c>
      <c r="B131" t="s">
        <v>140</v>
      </c>
      <c r="C131">
        <v>2</v>
      </c>
      <c r="D131">
        <v>0</v>
      </c>
      <c r="F131" t="s">
        <v>150</v>
      </c>
      <c r="G131" t="str">
        <f>MID(F131,LastpositionOfChar(F131,"-")+1,LEN(F131)-LastpositionOfChar(F131,"-")-LEN(".out"))</f>
        <v>a10_l128_n262144_s1_t</v>
      </c>
      <c r="H131" t="str">
        <f t="shared" ref="H131:H194" si="4">A131&amp;" "&amp;G131</f>
        <v>intruder a10_l128_n262144_s1_t</v>
      </c>
      <c r="I131" t="str">
        <f t="shared" ref="I131:I194" si="5">VLOOKUP(B131,T$2:U$5,2,FALSE)</f>
        <v>Alg1 s/w</v>
      </c>
    </row>
    <row r="132" spans="1:9" x14ac:dyDescent="0.45">
      <c r="A132" t="s">
        <v>22</v>
      </c>
      <c r="B132" t="s">
        <v>140</v>
      </c>
      <c r="C132">
        <v>4</v>
      </c>
      <c r="D132">
        <v>0</v>
      </c>
      <c r="F132" t="s">
        <v>151</v>
      </c>
      <c r="G132" t="str">
        <f>MID(F132,LastpositionOfChar(F132,"-")+1,LEN(F132)-LastpositionOfChar(F132,"-")-LEN(".out"))</f>
        <v>a10_l128_n262144_s1_t</v>
      </c>
      <c r="H132" t="str">
        <f t="shared" si="4"/>
        <v>intruder a10_l128_n262144_s1_t</v>
      </c>
      <c r="I132" t="str">
        <f t="shared" si="5"/>
        <v>Alg1 s/w</v>
      </c>
    </row>
    <row r="133" spans="1:9" x14ac:dyDescent="0.45">
      <c r="A133" t="s">
        <v>22</v>
      </c>
      <c r="B133" t="s">
        <v>140</v>
      </c>
      <c r="C133">
        <v>8</v>
      </c>
      <c r="D133">
        <v>0</v>
      </c>
      <c r="F133" t="s">
        <v>152</v>
      </c>
      <c r="G133" t="str">
        <f>MID(F133,LastpositionOfChar(F133,"-")+1,LEN(F133)-LastpositionOfChar(F133,"-")-LEN(".out"))</f>
        <v>a10_l128_n262144_s1_t</v>
      </c>
      <c r="H133" t="str">
        <f t="shared" si="4"/>
        <v>intruder a10_l128_n262144_s1_t</v>
      </c>
      <c r="I133" t="str">
        <f t="shared" si="5"/>
        <v>Alg1 s/w</v>
      </c>
    </row>
    <row r="134" spans="1:9" x14ac:dyDescent="0.45">
      <c r="A134" t="s">
        <v>27</v>
      </c>
      <c r="B134" t="s">
        <v>140</v>
      </c>
      <c r="C134">
        <v>1</v>
      </c>
      <c r="D134">
        <v>0</v>
      </c>
      <c r="E134">
        <v>8.1244700000000005</v>
      </c>
      <c r="F134" t="s">
        <v>153</v>
      </c>
      <c r="G134" t="str">
        <f>MID(F134,LastpositionOfChar(F134,"-")+1,LEN(F134)-LastpositionOfChar(F134,"-")-LEN(".out"))</f>
        <v>m40_n40_t0</v>
      </c>
      <c r="H134" t="str">
        <f t="shared" si="4"/>
        <v>kmeans m40_n40_t0</v>
      </c>
      <c r="I134" t="str">
        <f t="shared" si="5"/>
        <v>Alg1 s/w</v>
      </c>
    </row>
    <row r="135" spans="1:9" x14ac:dyDescent="0.45">
      <c r="A135" t="s">
        <v>27</v>
      </c>
      <c r="B135" t="s">
        <v>140</v>
      </c>
      <c r="C135">
        <v>2</v>
      </c>
      <c r="D135">
        <v>0</v>
      </c>
      <c r="E135">
        <v>3.80355</v>
      </c>
      <c r="F135" t="s">
        <v>154</v>
      </c>
      <c r="G135" t="str">
        <f>MID(F135,LastpositionOfChar(F135,"-")+1,LEN(F135)-LastpositionOfChar(F135,"-")-LEN(".out"))</f>
        <v>m40_n40_t0</v>
      </c>
      <c r="H135" t="str">
        <f t="shared" si="4"/>
        <v>kmeans m40_n40_t0</v>
      </c>
      <c r="I135" t="str">
        <f t="shared" si="5"/>
        <v>Alg1 s/w</v>
      </c>
    </row>
    <row r="136" spans="1:9" x14ac:dyDescent="0.45">
      <c r="A136" t="s">
        <v>27</v>
      </c>
      <c r="B136" t="s">
        <v>140</v>
      </c>
      <c r="C136">
        <v>4</v>
      </c>
      <c r="D136">
        <v>0</v>
      </c>
      <c r="E136">
        <v>4.2067399999999999</v>
      </c>
      <c r="F136" t="s">
        <v>155</v>
      </c>
      <c r="G136" t="str">
        <f>MID(F136,LastpositionOfChar(F136,"-")+1,LEN(F136)-LastpositionOfChar(F136,"-")-LEN(".out"))</f>
        <v>m40_n40_t0</v>
      </c>
      <c r="H136" t="str">
        <f t="shared" si="4"/>
        <v>kmeans m40_n40_t0</v>
      </c>
      <c r="I136" t="str">
        <f t="shared" si="5"/>
        <v>Alg1 s/w</v>
      </c>
    </row>
    <row r="137" spans="1:9" x14ac:dyDescent="0.45">
      <c r="A137" t="s">
        <v>27</v>
      </c>
      <c r="B137" t="s">
        <v>140</v>
      </c>
      <c r="C137">
        <v>8</v>
      </c>
      <c r="D137">
        <v>0</v>
      </c>
      <c r="E137">
        <v>4.0316700000000001</v>
      </c>
      <c r="F137" t="s">
        <v>156</v>
      </c>
      <c r="G137" t="str">
        <f>MID(F137,LastpositionOfChar(F137,"-")+1,LEN(F137)-LastpositionOfChar(F137,"-")-LEN(".out"))</f>
        <v>m40_n40_t0</v>
      </c>
      <c r="H137" t="str">
        <f t="shared" si="4"/>
        <v>kmeans m40_n40_t0</v>
      </c>
      <c r="I137" t="str">
        <f t="shared" si="5"/>
        <v>Alg1 s/w</v>
      </c>
    </row>
    <row r="138" spans="1:9" x14ac:dyDescent="0.45">
      <c r="A138" t="s">
        <v>27</v>
      </c>
      <c r="B138" t="s">
        <v>140</v>
      </c>
      <c r="C138">
        <v>1</v>
      </c>
      <c r="D138">
        <v>0</v>
      </c>
      <c r="E138">
        <v>1.77345</v>
      </c>
      <c r="F138" t="s">
        <v>157</v>
      </c>
      <c r="G138" t="str">
        <f>MID(F138,LastpositionOfChar(F138,"-")+1,LEN(F138)-LastpositionOfChar(F138,"-")-LEN(".out"))</f>
        <v>m15_n15_t0</v>
      </c>
      <c r="H138" t="str">
        <f t="shared" si="4"/>
        <v>kmeans m15_n15_t0</v>
      </c>
      <c r="I138" t="str">
        <f t="shared" si="5"/>
        <v>Alg1 s/w</v>
      </c>
    </row>
    <row r="139" spans="1:9" x14ac:dyDescent="0.45">
      <c r="A139" t="s">
        <v>27</v>
      </c>
      <c r="B139" t="s">
        <v>140</v>
      </c>
      <c r="C139">
        <v>2</v>
      </c>
      <c r="D139">
        <v>0</v>
      </c>
      <c r="E139">
        <v>1.7835700000000001</v>
      </c>
      <c r="F139" t="s">
        <v>158</v>
      </c>
      <c r="G139" t="str">
        <f>MID(F139,LastpositionOfChar(F139,"-")+1,LEN(F139)-LastpositionOfChar(F139,"-")-LEN(".out"))</f>
        <v>m15_n15_t0</v>
      </c>
      <c r="H139" t="str">
        <f t="shared" si="4"/>
        <v>kmeans m15_n15_t0</v>
      </c>
      <c r="I139" t="str">
        <f t="shared" si="5"/>
        <v>Alg1 s/w</v>
      </c>
    </row>
    <row r="140" spans="1:9" x14ac:dyDescent="0.45">
      <c r="A140" t="s">
        <v>27</v>
      </c>
      <c r="B140" t="s">
        <v>140</v>
      </c>
      <c r="C140">
        <v>4</v>
      </c>
      <c r="D140">
        <v>0</v>
      </c>
      <c r="E140">
        <v>2.67685</v>
      </c>
      <c r="F140" t="s">
        <v>159</v>
      </c>
      <c r="G140" t="str">
        <f>MID(F140,LastpositionOfChar(F140,"-")+1,LEN(F140)-LastpositionOfChar(F140,"-")-LEN(".out"))</f>
        <v>m15_n15_t0</v>
      </c>
      <c r="H140" t="str">
        <f t="shared" si="4"/>
        <v>kmeans m15_n15_t0</v>
      </c>
      <c r="I140" t="str">
        <f t="shared" si="5"/>
        <v>Alg1 s/w</v>
      </c>
    </row>
    <row r="141" spans="1:9" x14ac:dyDescent="0.45">
      <c r="A141" t="s">
        <v>27</v>
      </c>
      <c r="B141" t="s">
        <v>140</v>
      </c>
      <c r="C141">
        <v>8</v>
      </c>
      <c r="D141">
        <v>0</v>
      </c>
      <c r="E141">
        <v>3.14052</v>
      </c>
      <c r="F141" t="s">
        <v>160</v>
      </c>
      <c r="G141" t="str">
        <f>MID(F141,LastpositionOfChar(F141,"-")+1,LEN(F141)-LastpositionOfChar(F141,"-")-LEN(".out"))</f>
        <v>m15_n15_t0</v>
      </c>
      <c r="H141" t="str">
        <f t="shared" si="4"/>
        <v>kmeans m15_n15_t0</v>
      </c>
      <c r="I141" t="str">
        <f t="shared" si="5"/>
        <v>Alg1 s/w</v>
      </c>
    </row>
    <row r="142" spans="1:9" x14ac:dyDescent="0.45">
      <c r="A142" t="s">
        <v>36</v>
      </c>
      <c r="B142" t="s">
        <v>140</v>
      </c>
      <c r="C142">
        <v>1</v>
      </c>
      <c r="D142">
        <v>0</v>
      </c>
      <c r="E142">
        <v>64.265899000000005</v>
      </c>
      <c r="F142" t="s">
        <v>161</v>
      </c>
      <c r="G142" t="str">
        <f>MID(F142,LastpositionOfChar(F142,"-")+1,LEN(F142)-LastpositionOfChar(F142,"-")-LEN(".out"))</f>
        <v>i_</v>
      </c>
      <c r="H142" t="str">
        <f t="shared" si="4"/>
        <v>labyrinth i_</v>
      </c>
      <c r="I142" t="str">
        <f t="shared" si="5"/>
        <v>Alg1 s/w</v>
      </c>
    </row>
    <row r="143" spans="1:9" x14ac:dyDescent="0.45">
      <c r="A143" t="s">
        <v>36</v>
      </c>
      <c r="B143" t="s">
        <v>140</v>
      </c>
      <c r="C143">
        <v>2</v>
      </c>
      <c r="D143">
        <v>0</v>
      </c>
      <c r="E143">
        <v>211.20194799999999</v>
      </c>
      <c r="F143" t="s">
        <v>162</v>
      </c>
      <c r="G143" t="str">
        <f>MID(F143,LastpositionOfChar(F143,"-")+1,LEN(F143)-LastpositionOfChar(F143,"-")-LEN(".out"))</f>
        <v>i_</v>
      </c>
      <c r="H143" t="str">
        <f t="shared" si="4"/>
        <v>labyrinth i_</v>
      </c>
      <c r="I143" t="str">
        <f t="shared" si="5"/>
        <v>Alg1 s/w</v>
      </c>
    </row>
    <row r="144" spans="1:9" x14ac:dyDescent="0.45">
      <c r="A144" t="s">
        <v>36</v>
      </c>
      <c r="B144" t="s">
        <v>140</v>
      </c>
      <c r="C144">
        <v>4</v>
      </c>
      <c r="D144">
        <v>0</v>
      </c>
      <c r="E144">
        <v>189.238508</v>
      </c>
      <c r="F144" t="s">
        <v>163</v>
      </c>
      <c r="G144" t="str">
        <f>MID(F144,LastpositionOfChar(F144,"-")+1,LEN(F144)-LastpositionOfChar(F144,"-")-LEN(".out"))</f>
        <v>i_</v>
      </c>
      <c r="H144" t="str">
        <f t="shared" si="4"/>
        <v>labyrinth i_</v>
      </c>
      <c r="I144" t="str">
        <f t="shared" si="5"/>
        <v>Alg1 s/w</v>
      </c>
    </row>
    <row r="145" spans="1:9" x14ac:dyDescent="0.45">
      <c r="A145" t="s">
        <v>36</v>
      </c>
      <c r="B145" t="s">
        <v>140</v>
      </c>
      <c r="C145">
        <v>8</v>
      </c>
      <c r="D145">
        <v>0</v>
      </c>
      <c r="E145">
        <v>169.085464</v>
      </c>
      <c r="F145" t="s">
        <v>164</v>
      </c>
      <c r="G145" t="str">
        <f>MID(F145,LastpositionOfChar(F145,"-")+1,LEN(F145)-LastpositionOfChar(F145,"-")-LEN(".out"))</f>
        <v>i_</v>
      </c>
      <c r="H145" t="str">
        <f t="shared" si="4"/>
        <v>labyrinth i_</v>
      </c>
      <c r="I145" t="str">
        <f t="shared" si="5"/>
        <v>Alg1 s/w</v>
      </c>
    </row>
    <row r="146" spans="1:9" x14ac:dyDescent="0.45">
      <c r="A146" t="s">
        <v>41</v>
      </c>
      <c r="B146" t="s">
        <v>140</v>
      </c>
      <c r="C146">
        <v>1</v>
      </c>
      <c r="D146">
        <v>0</v>
      </c>
      <c r="E146">
        <v>11.856536</v>
      </c>
      <c r="F146" t="s">
        <v>165</v>
      </c>
      <c r="G146" t="str">
        <f>MID(F146,LastpositionOfChar(F146,"-")+1,LEN(F146)-LastpositionOfChar(F146,"-")-LEN(".out"))</f>
        <v>s20_i1</v>
      </c>
      <c r="H146" t="str">
        <f t="shared" si="4"/>
        <v>ssca2 s20_i1</v>
      </c>
      <c r="I146" t="str">
        <f t="shared" si="5"/>
        <v>Alg1 s/w</v>
      </c>
    </row>
    <row r="147" spans="1:9" x14ac:dyDescent="0.45">
      <c r="A147" t="s">
        <v>41</v>
      </c>
      <c r="B147" t="s">
        <v>140</v>
      </c>
      <c r="C147">
        <v>2</v>
      </c>
      <c r="D147">
        <v>0</v>
      </c>
      <c r="E147">
        <v>12.475623000000001</v>
      </c>
      <c r="F147" t="s">
        <v>166</v>
      </c>
      <c r="G147" t="str">
        <f>MID(F147,LastpositionOfChar(F147,"-")+1,LEN(F147)-LastpositionOfChar(F147,"-")-LEN(".out"))</f>
        <v>s20_i1</v>
      </c>
      <c r="H147" t="str">
        <f t="shared" si="4"/>
        <v>ssca2 s20_i1</v>
      </c>
      <c r="I147" t="str">
        <f t="shared" si="5"/>
        <v>Alg1 s/w</v>
      </c>
    </row>
    <row r="148" spans="1:9" x14ac:dyDescent="0.45">
      <c r="A148" t="s">
        <v>41</v>
      </c>
      <c r="B148" t="s">
        <v>140</v>
      </c>
      <c r="C148">
        <v>4</v>
      </c>
      <c r="D148">
        <v>0</v>
      </c>
      <c r="E148">
        <v>11.105026000000001</v>
      </c>
      <c r="F148" t="s">
        <v>167</v>
      </c>
      <c r="G148" t="str">
        <f>MID(F148,LastpositionOfChar(F148,"-")+1,LEN(F148)-LastpositionOfChar(F148,"-")-LEN(".out"))</f>
        <v>s20_i1</v>
      </c>
      <c r="H148" t="str">
        <f t="shared" si="4"/>
        <v>ssca2 s20_i1</v>
      </c>
      <c r="I148" t="str">
        <f t="shared" si="5"/>
        <v>Alg1 s/w</v>
      </c>
    </row>
    <row r="149" spans="1:9" x14ac:dyDescent="0.45">
      <c r="A149" t="s">
        <v>41</v>
      </c>
      <c r="B149" t="s">
        <v>140</v>
      </c>
      <c r="C149">
        <v>8</v>
      </c>
      <c r="D149">
        <v>0</v>
      </c>
      <c r="E149">
        <v>10.732041000000001</v>
      </c>
      <c r="F149" t="s">
        <v>168</v>
      </c>
      <c r="G149" t="str">
        <f>MID(F149,LastpositionOfChar(F149,"-")+1,LEN(F149)-LastpositionOfChar(F149,"-")-LEN(".out"))</f>
        <v>s20_i1</v>
      </c>
      <c r="H149" t="str">
        <f t="shared" si="4"/>
        <v>ssca2 s20_i1</v>
      </c>
      <c r="I149" t="str">
        <f t="shared" si="5"/>
        <v>Alg1 s/w</v>
      </c>
    </row>
    <row r="150" spans="1:9" x14ac:dyDescent="0.45">
      <c r="A150" t="s">
        <v>46</v>
      </c>
      <c r="B150" t="s">
        <v>140</v>
      </c>
      <c r="C150">
        <v>1</v>
      </c>
      <c r="D150">
        <v>0</v>
      </c>
      <c r="F150" t="s">
        <v>169</v>
      </c>
      <c r="G150" t="str">
        <f>MID(F150,LastpositionOfChar(F150,"-")+1,LEN(F150)-LastpositionOfChar(F150,"-")-LEN(".out"))</f>
        <v>n2_q90_u98_r1048576_t4194304_c</v>
      </c>
      <c r="H150" t="str">
        <f t="shared" si="4"/>
        <v>vacation n2_q90_u98_r1048576_t4194304_c</v>
      </c>
      <c r="I150" t="str">
        <f t="shared" si="5"/>
        <v>Alg1 s/w</v>
      </c>
    </row>
    <row r="151" spans="1:9" x14ac:dyDescent="0.45">
      <c r="A151" t="s">
        <v>46</v>
      </c>
      <c r="B151" t="s">
        <v>140</v>
      </c>
      <c r="C151">
        <v>2</v>
      </c>
      <c r="D151">
        <v>0</v>
      </c>
      <c r="F151" t="s">
        <v>170</v>
      </c>
      <c r="G151" t="str">
        <f>MID(F151,LastpositionOfChar(F151,"-")+1,LEN(F151)-LastpositionOfChar(F151,"-")-LEN(".out"))</f>
        <v>n2_q90_u98_r1048576_t4194304_c</v>
      </c>
      <c r="H151" t="str">
        <f t="shared" si="4"/>
        <v>vacation n2_q90_u98_r1048576_t4194304_c</v>
      </c>
      <c r="I151" t="str">
        <f t="shared" si="5"/>
        <v>Alg1 s/w</v>
      </c>
    </row>
    <row r="152" spans="1:9" x14ac:dyDescent="0.45">
      <c r="A152" t="s">
        <v>46</v>
      </c>
      <c r="B152" t="s">
        <v>140</v>
      </c>
      <c r="C152">
        <v>4</v>
      </c>
      <c r="D152">
        <v>0</v>
      </c>
      <c r="F152" t="s">
        <v>171</v>
      </c>
      <c r="G152" t="str">
        <f>MID(F152,LastpositionOfChar(F152,"-")+1,LEN(F152)-LastpositionOfChar(F152,"-")-LEN(".out"))</f>
        <v>n2_q90_u98_r1048576_t4194304_c</v>
      </c>
      <c r="H152" t="str">
        <f t="shared" si="4"/>
        <v>vacation n2_q90_u98_r1048576_t4194304_c</v>
      </c>
      <c r="I152" t="str">
        <f t="shared" si="5"/>
        <v>Alg1 s/w</v>
      </c>
    </row>
    <row r="153" spans="1:9" x14ac:dyDescent="0.45">
      <c r="A153" t="s">
        <v>46</v>
      </c>
      <c r="B153" t="s">
        <v>140</v>
      </c>
      <c r="C153">
        <v>8</v>
      </c>
      <c r="D153">
        <v>0</v>
      </c>
      <c r="F153" t="s">
        <v>172</v>
      </c>
      <c r="G153" t="str">
        <f>MID(F153,LastpositionOfChar(F153,"-")+1,LEN(F153)-LastpositionOfChar(F153,"-")-LEN(".out"))</f>
        <v>n2_q90_u98_r1048576_t4194304_c</v>
      </c>
      <c r="H153" t="str">
        <f t="shared" si="4"/>
        <v>vacation n2_q90_u98_r1048576_t4194304_c</v>
      </c>
      <c r="I153" t="str">
        <f t="shared" si="5"/>
        <v>Alg1 s/w</v>
      </c>
    </row>
    <row r="154" spans="1:9" x14ac:dyDescent="0.45">
      <c r="A154" t="s">
        <v>46</v>
      </c>
      <c r="B154" t="s">
        <v>140</v>
      </c>
      <c r="C154">
        <v>1</v>
      </c>
      <c r="D154">
        <v>0</v>
      </c>
      <c r="F154" t="s">
        <v>173</v>
      </c>
      <c r="G154" t="str">
        <f>MID(F154,LastpositionOfChar(F154,"-")+1,LEN(F154)-LastpositionOfChar(F154,"-")-LEN(".out"))</f>
        <v>n4_q60_u90_r1048576_t4194304_c</v>
      </c>
      <c r="H154" t="str">
        <f t="shared" si="4"/>
        <v>vacation n4_q60_u90_r1048576_t4194304_c</v>
      </c>
      <c r="I154" t="str">
        <f t="shared" si="5"/>
        <v>Alg1 s/w</v>
      </c>
    </row>
    <row r="155" spans="1:9" x14ac:dyDescent="0.45">
      <c r="A155" t="s">
        <v>46</v>
      </c>
      <c r="B155" t="s">
        <v>140</v>
      </c>
      <c r="C155">
        <v>2</v>
      </c>
      <c r="D155">
        <v>0</v>
      </c>
      <c r="F155" t="s">
        <v>174</v>
      </c>
      <c r="G155" t="str">
        <f>MID(F155,LastpositionOfChar(F155,"-")+1,LEN(F155)-LastpositionOfChar(F155,"-")-LEN(".out"))</f>
        <v>n4_q60_u90_r1048576_t4194304_c</v>
      </c>
      <c r="H155" t="str">
        <f t="shared" si="4"/>
        <v>vacation n4_q60_u90_r1048576_t4194304_c</v>
      </c>
      <c r="I155" t="str">
        <f t="shared" si="5"/>
        <v>Alg1 s/w</v>
      </c>
    </row>
    <row r="156" spans="1:9" x14ac:dyDescent="0.45">
      <c r="A156" t="s">
        <v>46</v>
      </c>
      <c r="B156" t="s">
        <v>140</v>
      </c>
      <c r="C156">
        <v>4</v>
      </c>
      <c r="D156">
        <v>0</v>
      </c>
      <c r="F156" t="s">
        <v>175</v>
      </c>
      <c r="G156" t="str">
        <f>MID(F156,LastpositionOfChar(F156,"-")+1,LEN(F156)-LastpositionOfChar(F156,"-")-LEN(".out"))</f>
        <v>n4_q60_u90_r1048576_t4194304_c</v>
      </c>
      <c r="H156" t="str">
        <f t="shared" si="4"/>
        <v>vacation n4_q60_u90_r1048576_t4194304_c</v>
      </c>
      <c r="I156" t="str">
        <f t="shared" si="5"/>
        <v>Alg1 s/w</v>
      </c>
    </row>
    <row r="157" spans="1:9" x14ac:dyDescent="0.45">
      <c r="A157" t="s">
        <v>46</v>
      </c>
      <c r="B157" t="s">
        <v>140</v>
      </c>
      <c r="C157">
        <v>8</v>
      </c>
      <c r="D157">
        <v>0</v>
      </c>
      <c r="F157" t="s">
        <v>176</v>
      </c>
      <c r="G157" t="str">
        <f>MID(F157,LastpositionOfChar(F157,"-")+1,LEN(F157)-LastpositionOfChar(F157,"-")-LEN(".out"))</f>
        <v>n4_q60_u90_r1048576_t4194304_c</v>
      </c>
      <c r="H157" t="str">
        <f t="shared" si="4"/>
        <v>vacation n4_q60_u90_r1048576_t4194304_c</v>
      </c>
      <c r="I157" t="str">
        <f t="shared" si="5"/>
        <v>Alg1 s/w</v>
      </c>
    </row>
    <row r="158" spans="1:9" x14ac:dyDescent="0.45">
      <c r="A158" t="s">
        <v>55</v>
      </c>
      <c r="B158" t="s">
        <v>140</v>
      </c>
      <c r="C158">
        <v>1</v>
      </c>
      <c r="D158">
        <v>0</v>
      </c>
      <c r="F158" t="s">
        <v>177</v>
      </c>
      <c r="G158" t="str">
        <f>MID(F158,LastpositionOfChar(F158,"-")+1,LEN(F158)-LastpositionOfChar(F158,"-")-LEN(".out"))</f>
        <v>a15_i_</v>
      </c>
      <c r="H158" t="str">
        <f t="shared" si="4"/>
        <v>yada a15_i_</v>
      </c>
      <c r="I158" t="str">
        <f t="shared" si="5"/>
        <v>Alg1 s/w</v>
      </c>
    </row>
    <row r="159" spans="1:9" x14ac:dyDescent="0.45">
      <c r="A159" t="s">
        <v>55</v>
      </c>
      <c r="B159" t="s">
        <v>140</v>
      </c>
      <c r="C159">
        <v>2</v>
      </c>
      <c r="D159">
        <v>0</v>
      </c>
      <c r="F159" t="s">
        <v>178</v>
      </c>
      <c r="G159" t="str">
        <f>MID(F159,LastpositionOfChar(F159,"-")+1,LEN(F159)-LastpositionOfChar(F159,"-")-LEN(".out"))</f>
        <v>a15_i_</v>
      </c>
      <c r="H159" t="str">
        <f t="shared" si="4"/>
        <v>yada a15_i_</v>
      </c>
      <c r="I159" t="str">
        <f t="shared" si="5"/>
        <v>Alg1 s/w</v>
      </c>
    </row>
    <row r="160" spans="1:9" x14ac:dyDescent="0.45">
      <c r="A160" t="s">
        <v>55</v>
      </c>
      <c r="B160" t="s">
        <v>140</v>
      </c>
      <c r="C160">
        <v>4</v>
      </c>
      <c r="D160">
        <v>0</v>
      </c>
      <c r="F160" t="s">
        <v>179</v>
      </c>
      <c r="G160" t="str">
        <f>MID(F160,LastpositionOfChar(F160,"-")+1,LEN(F160)-LastpositionOfChar(F160,"-")-LEN(".out"))</f>
        <v>a15_i_</v>
      </c>
      <c r="H160" t="str">
        <f t="shared" si="4"/>
        <v>yada a15_i_</v>
      </c>
      <c r="I160" t="str">
        <f t="shared" si="5"/>
        <v>Alg1 s/w</v>
      </c>
    </row>
    <row r="161" spans="1:9" x14ac:dyDescent="0.45">
      <c r="A161" t="s">
        <v>55</v>
      </c>
      <c r="B161" t="s">
        <v>140</v>
      </c>
      <c r="C161">
        <v>8</v>
      </c>
      <c r="D161">
        <v>0</v>
      </c>
      <c r="F161" t="s">
        <v>180</v>
      </c>
      <c r="G161" t="str">
        <f>MID(F161,LastpositionOfChar(F161,"-")+1,LEN(F161)-LastpositionOfChar(F161,"-")-LEN(".out"))</f>
        <v>a15_i_</v>
      </c>
      <c r="H161" t="str">
        <f t="shared" si="4"/>
        <v>yada a15_i_</v>
      </c>
      <c r="I161" t="str">
        <f t="shared" si="5"/>
        <v>Alg1 s/w</v>
      </c>
    </row>
    <row r="162" spans="1:9" x14ac:dyDescent="0.45">
      <c r="A162" t="s">
        <v>12</v>
      </c>
      <c r="B162" t="s">
        <v>0</v>
      </c>
      <c r="C162">
        <v>1</v>
      </c>
      <c r="D162">
        <v>1</v>
      </c>
      <c r="E162">
        <v>30.874099999999999</v>
      </c>
      <c r="F162" t="s">
        <v>181</v>
      </c>
      <c r="G162" t="str">
        <f>MID(F162,LastpositionOfChar(F162,"-")+1,LEN(F162)-LastpositionOfChar(F162,"-")-LEN(".out"))</f>
        <v>v32_r4096_n10_p40_i2_e8_s1_t</v>
      </c>
      <c r="H162" t="str">
        <f t="shared" si="4"/>
        <v>bayes v32_r4096_n10_p40_i2_e8_s1_t</v>
      </c>
      <c r="I162" t="str">
        <f t="shared" si="5"/>
        <v>TL2</v>
      </c>
    </row>
    <row r="163" spans="1:9" x14ac:dyDescent="0.45">
      <c r="A163" t="s">
        <v>12</v>
      </c>
      <c r="B163" t="s">
        <v>0</v>
      </c>
      <c r="C163">
        <v>2</v>
      </c>
      <c r="D163">
        <v>1</v>
      </c>
      <c r="E163">
        <v>54.122</v>
      </c>
      <c r="F163" t="s">
        <v>182</v>
      </c>
      <c r="G163" t="str">
        <f>MID(F163,LastpositionOfChar(F163,"-")+1,LEN(F163)-LastpositionOfChar(F163,"-")-LEN(".out"))</f>
        <v>v32_r4096_n10_p40_i2_e8_s1_t</v>
      </c>
      <c r="H163" t="str">
        <f t="shared" si="4"/>
        <v>bayes v32_r4096_n10_p40_i2_e8_s1_t</v>
      </c>
      <c r="I163" t="str">
        <f t="shared" si="5"/>
        <v>TL2</v>
      </c>
    </row>
    <row r="164" spans="1:9" x14ac:dyDescent="0.45">
      <c r="A164" t="s">
        <v>12</v>
      </c>
      <c r="B164" t="s">
        <v>0</v>
      </c>
      <c r="C164">
        <v>4</v>
      </c>
      <c r="D164">
        <v>1</v>
      </c>
      <c r="E164">
        <v>55.583100000000002</v>
      </c>
      <c r="F164" t="s">
        <v>183</v>
      </c>
      <c r="G164" t="str">
        <f>MID(F164,LastpositionOfChar(F164,"-")+1,LEN(F164)-LastpositionOfChar(F164,"-")-LEN(".out"))</f>
        <v>v32_r4096_n10_p40_i2_e8_s1_t</v>
      </c>
      <c r="H164" t="str">
        <f t="shared" si="4"/>
        <v>bayes v32_r4096_n10_p40_i2_e8_s1_t</v>
      </c>
      <c r="I164" t="str">
        <f t="shared" si="5"/>
        <v>TL2</v>
      </c>
    </row>
    <row r="165" spans="1:9" x14ac:dyDescent="0.45">
      <c r="A165" t="s">
        <v>12</v>
      </c>
      <c r="B165" t="s">
        <v>0</v>
      </c>
      <c r="C165">
        <v>8</v>
      </c>
      <c r="D165">
        <v>1</v>
      </c>
      <c r="E165">
        <v>32.686799999999998</v>
      </c>
      <c r="F165" t="s">
        <v>184</v>
      </c>
      <c r="G165" t="str">
        <f>MID(F165,LastpositionOfChar(F165,"-")+1,LEN(F165)-LastpositionOfChar(F165,"-")-LEN(".out"))</f>
        <v>v32_r4096_n10_p40_i2_e8_s1_t</v>
      </c>
      <c r="H165" t="str">
        <f t="shared" si="4"/>
        <v>bayes v32_r4096_n10_p40_i2_e8_s1_t</v>
      </c>
      <c r="I165" t="str">
        <f t="shared" si="5"/>
        <v>TL2</v>
      </c>
    </row>
    <row r="166" spans="1:9" x14ac:dyDescent="0.45">
      <c r="A166" t="s">
        <v>17</v>
      </c>
      <c r="B166" t="s">
        <v>0</v>
      </c>
      <c r="C166">
        <v>1</v>
      </c>
      <c r="D166">
        <v>1</v>
      </c>
      <c r="E166">
        <v>5.6804389999999998</v>
      </c>
      <c r="F166" t="s">
        <v>185</v>
      </c>
      <c r="G166" t="str">
        <f>MID(F166,LastpositionOfChar(F166,"-")+1,LEN(F166)-LastpositionOfChar(F166,"-")-LEN(".out"))</f>
        <v>g16384_s64_n16777216_t</v>
      </c>
      <c r="H166" t="str">
        <f t="shared" si="4"/>
        <v>genome g16384_s64_n16777216_t</v>
      </c>
      <c r="I166" t="str">
        <f t="shared" si="5"/>
        <v>TL2</v>
      </c>
    </row>
    <row r="167" spans="1:9" x14ac:dyDescent="0.45">
      <c r="A167" t="s">
        <v>17</v>
      </c>
      <c r="B167" t="s">
        <v>0</v>
      </c>
      <c r="C167">
        <v>2</v>
      </c>
      <c r="D167">
        <v>1</v>
      </c>
      <c r="E167">
        <v>5.6662999999999997</v>
      </c>
      <c r="F167" t="s">
        <v>186</v>
      </c>
      <c r="G167" t="str">
        <f>MID(F167,LastpositionOfChar(F167,"-")+1,LEN(F167)-LastpositionOfChar(F167,"-")-LEN(".out"))</f>
        <v>g16384_s64_n16777216_t</v>
      </c>
      <c r="H167" t="str">
        <f t="shared" si="4"/>
        <v>genome g16384_s64_n16777216_t</v>
      </c>
      <c r="I167" t="str">
        <f t="shared" si="5"/>
        <v>TL2</v>
      </c>
    </row>
    <row r="168" spans="1:9" x14ac:dyDescent="0.45">
      <c r="A168" t="s">
        <v>17</v>
      </c>
      <c r="B168" t="s">
        <v>0</v>
      </c>
      <c r="C168">
        <v>4</v>
      </c>
      <c r="D168">
        <v>1</v>
      </c>
      <c r="E168">
        <v>4.7674260000000004</v>
      </c>
      <c r="F168" t="s">
        <v>187</v>
      </c>
      <c r="G168" t="str">
        <f>MID(F168,LastpositionOfChar(F168,"-")+1,LEN(F168)-LastpositionOfChar(F168,"-")-LEN(".out"))</f>
        <v>g16384_s64_n16777216_t</v>
      </c>
      <c r="H168" t="str">
        <f t="shared" si="4"/>
        <v>genome g16384_s64_n16777216_t</v>
      </c>
      <c r="I168" t="str">
        <f t="shared" si="5"/>
        <v>TL2</v>
      </c>
    </row>
    <row r="169" spans="1:9" x14ac:dyDescent="0.45">
      <c r="A169" t="s">
        <v>17</v>
      </c>
      <c r="B169" t="s">
        <v>0</v>
      </c>
      <c r="C169">
        <v>8</v>
      </c>
      <c r="D169">
        <v>1</v>
      </c>
      <c r="E169">
        <v>4.4393599999999998</v>
      </c>
      <c r="F169" t="s">
        <v>188</v>
      </c>
      <c r="G169" t="str">
        <f>MID(F169,LastpositionOfChar(F169,"-")+1,LEN(F169)-LastpositionOfChar(F169,"-")-LEN(".out"))</f>
        <v>g16384_s64_n16777216_t</v>
      </c>
      <c r="H169" t="str">
        <f t="shared" si="4"/>
        <v>genome g16384_s64_n16777216_t</v>
      </c>
      <c r="I169" t="str">
        <f t="shared" si="5"/>
        <v>TL2</v>
      </c>
    </row>
    <row r="170" spans="1:9" x14ac:dyDescent="0.45">
      <c r="A170" t="s">
        <v>22</v>
      </c>
      <c r="B170" t="s">
        <v>0</v>
      </c>
      <c r="C170">
        <v>1</v>
      </c>
      <c r="D170">
        <v>1</v>
      </c>
      <c r="E170">
        <v>18.466441</v>
      </c>
      <c r="F170" t="s">
        <v>189</v>
      </c>
      <c r="G170" t="str">
        <f>MID(F170,LastpositionOfChar(F170,"-")+1,LEN(F170)-LastpositionOfChar(F170,"-")-LEN(".out"))</f>
        <v>a10_l128_n262144_s1_t</v>
      </c>
      <c r="H170" t="str">
        <f t="shared" si="4"/>
        <v>intruder a10_l128_n262144_s1_t</v>
      </c>
      <c r="I170" t="str">
        <f t="shared" si="5"/>
        <v>TL2</v>
      </c>
    </row>
    <row r="171" spans="1:9" x14ac:dyDescent="0.45">
      <c r="A171" t="s">
        <v>22</v>
      </c>
      <c r="B171" t="s">
        <v>0</v>
      </c>
      <c r="C171">
        <v>2</v>
      </c>
      <c r="D171">
        <v>1</v>
      </c>
      <c r="E171">
        <v>17.856998000000001</v>
      </c>
      <c r="F171" t="s">
        <v>190</v>
      </c>
      <c r="G171" t="str">
        <f>MID(F171,LastpositionOfChar(F171,"-")+1,LEN(F171)-LastpositionOfChar(F171,"-")-LEN(".out"))</f>
        <v>a10_l128_n262144_s1_t</v>
      </c>
      <c r="H171" t="str">
        <f t="shared" si="4"/>
        <v>intruder a10_l128_n262144_s1_t</v>
      </c>
      <c r="I171" t="str">
        <f t="shared" si="5"/>
        <v>TL2</v>
      </c>
    </row>
    <row r="172" spans="1:9" x14ac:dyDescent="0.45">
      <c r="A172" t="s">
        <v>22</v>
      </c>
      <c r="B172" t="s">
        <v>0</v>
      </c>
      <c r="C172">
        <v>4</v>
      </c>
      <c r="D172">
        <v>1</v>
      </c>
      <c r="E172">
        <v>15.717670999999999</v>
      </c>
      <c r="F172" t="s">
        <v>191</v>
      </c>
      <c r="G172" t="str">
        <f>MID(F172,LastpositionOfChar(F172,"-")+1,LEN(F172)-LastpositionOfChar(F172,"-")-LEN(".out"))</f>
        <v>a10_l128_n262144_s1_t</v>
      </c>
      <c r="H172" t="str">
        <f t="shared" si="4"/>
        <v>intruder a10_l128_n262144_s1_t</v>
      </c>
      <c r="I172" t="str">
        <f t="shared" si="5"/>
        <v>TL2</v>
      </c>
    </row>
    <row r="173" spans="1:9" x14ac:dyDescent="0.45">
      <c r="A173" t="s">
        <v>22</v>
      </c>
      <c r="B173" t="s">
        <v>0</v>
      </c>
      <c r="C173">
        <v>8</v>
      </c>
      <c r="D173">
        <v>1</v>
      </c>
      <c r="E173">
        <v>17.517410000000002</v>
      </c>
      <c r="F173" t="s">
        <v>192</v>
      </c>
      <c r="G173" t="str">
        <f>MID(F173,LastpositionOfChar(F173,"-")+1,LEN(F173)-LastpositionOfChar(F173,"-")-LEN(".out"))</f>
        <v>a10_l128_n262144_s1_t</v>
      </c>
      <c r="H173" t="str">
        <f t="shared" si="4"/>
        <v>intruder a10_l128_n262144_s1_t</v>
      </c>
      <c r="I173" t="str">
        <f t="shared" si="5"/>
        <v>TL2</v>
      </c>
    </row>
    <row r="174" spans="1:9" x14ac:dyDescent="0.45">
      <c r="A174" t="s">
        <v>27</v>
      </c>
      <c r="B174" t="s">
        <v>0</v>
      </c>
      <c r="C174">
        <v>1</v>
      </c>
      <c r="D174">
        <v>1</v>
      </c>
      <c r="E174">
        <v>15.0092</v>
      </c>
      <c r="F174" t="s">
        <v>193</v>
      </c>
      <c r="G174" t="str">
        <f>MID(F174,LastpositionOfChar(F174,"-")+1,LEN(F174)-LastpositionOfChar(F174,"-")-LEN(".out"))</f>
        <v>m40_n40_t0</v>
      </c>
      <c r="H174" t="str">
        <f t="shared" si="4"/>
        <v>kmeans m40_n40_t0</v>
      </c>
      <c r="I174" t="str">
        <f t="shared" si="5"/>
        <v>TL2</v>
      </c>
    </row>
    <row r="175" spans="1:9" x14ac:dyDescent="0.45">
      <c r="A175" t="s">
        <v>27</v>
      </c>
      <c r="B175" t="s">
        <v>0</v>
      </c>
      <c r="C175">
        <v>2</v>
      </c>
      <c r="D175">
        <v>1</v>
      </c>
      <c r="E175">
        <v>9.5030800000000006</v>
      </c>
      <c r="F175" t="s">
        <v>194</v>
      </c>
      <c r="G175" t="str">
        <f>MID(F175,LastpositionOfChar(F175,"-")+1,LEN(F175)-LastpositionOfChar(F175,"-")-LEN(".out"))</f>
        <v>m40_n40_t0</v>
      </c>
      <c r="H175" t="str">
        <f t="shared" si="4"/>
        <v>kmeans m40_n40_t0</v>
      </c>
      <c r="I175" t="str">
        <f t="shared" si="5"/>
        <v>TL2</v>
      </c>
    </row>
    <row r="176" spans="1:9" x14ac:dyDescent="0.45">
      <c r="A176" t="s">
        <v>27</v>
      </c>
      <c r="B176" t="s">
        <v>0</v>
      </c>
      <c r="C176">
        <v>4</v>
      </c>
      <c r="D176">
        <v>1</v>
      </c>
      <c r="E176">
        <v>4.9327699999999997</v>
      </c>
      <c r="F176" t="s">
        <v>195</v>
      </c>
      <c r="G176" t="str">
        <f>MID(F176,LastpositionOfChar(F176,"-")+1,LEN(F176)-LastpositionOfChar(F176,"-")-LEN(".out"))</f>
        <v>m40_n40_t0</v>
      </c>
      <c r="H176" t="str">
        <f t="shared" si="4"/>
        <v>kmeans m40_n40_t0</v>
      </c>
      <c r="I176" t="str">
        <f t="shared" si="5"/>
        <v>TL2</v>
      </c>
    </row>
    <row r="177" spans="1:9" x14ac:dyDescent="0.45">
      <c r="A177" t="s">
        <v>27</v>
      </c>
      <c r="B177" t="s">
        <v>0</v>
      </c>
      <c r="C177">
        <v>8</v>
      </c>
      <c r="D177">
        <v>1</v>
      </c>
      <c r="E177">
        <v>2.97993</v>
      </c>
      <c r="F177" t="s">
        <v>196</v>
      </c>
      <c r="G177" t="str">
        <f>MID(F177,LastpositionOfChar(F177,"-")+1,LEN(F177)-LastpositionOfChar(F177,"-")-LEN(".out"))</f>
        <v>m40_n40_t0</v>
      </c>
      <c r="H177" t="str">
        <f t="shared" si="4"/>
        <v>kmeans m40_n40_t0</v>
      </c>
      <c r="I177" t="str">
        <f t="shared" si="5"/>
        <v>TL2</v>
      </c>
    </row>
    <row r="178" spans="1:9" x14ac:dyDescent="0.45">
      <c r="A178" t="s">
        <v>27</v>
      </c>
      <c r="B178" t="s">
        <v>0</v>
      </c>
      <c r="C178">
        <v>1</v>
      </c>
      <c r="D178">
        <v>1</v>
      </c>
      <c r="E178">
        <v>4.5358499999999999</v>
      </c>
      <c r="F178" t="s">
        <v>197</v>
      </c>
      <c r="G178" t="str">
        <f>MID(F178,LastpositionOfChar(F178,"-")+1,LEN(F178)-LastpositionOfChar(F178,"-")-LEN(".out"))</f>
        <v>m15_n15_t0</v>
      </c>
      <c r="H178" t="str">
        <f t="shared" si="4"/>
        <v>kmeans m15_n15_t0</v>
      </c>
      <c r="I178" t="str">
        <f t="shared" si="5"/>
        <v>TL2</v>
      </c>
    </row>
    <row r="179" spans="1:9" x14ac:dyDescent="0.45">
      <c r="A179" t="s">
        <v>27</v>
      </c>
      <c r="B179" t="s">
        <v>0</v>
      </c>
      <c r="C179">
        <v>2</v>
      </c>
      <c r="D179">
        <v>1</v>
      </c>
      <c r="E179">
        <v>2.1599699999999999</v>
      </c>
      <c r="F179" t="s">
        <v>198</v>
      </c>
      <c r="G179" t="str">
        <f>MID(F179,LastpositionOfChar(F179,"-")+1,LEN(F179)-LastpositionOfChar(F179,"-")-LEN(".out"))</f>
        <v>m15_n15_t0</v>
      </c>
      <c r="H179" t="str">
        <f t="shared" si="4"/>
        <v>kmeans m15_n15_t0</v>
      </c>
      <c r="I179" t="str">
        <f t="shared" si="5"/>
        <v>TL2</v>
      </c>
    </row>
    <row r="180" spans="1:9" x14ac:dyDescent="0.45">
      <c r="A180" t="s">
        <v>27</v>
      </c>
      <c r="B180" t="s">
        <v>0</v>
      </c>
      <c r="C180">
        <v>4</v>
      </c>
      <c r="D180">
        <v>1</v>
      </c>
      <c r="E180">
        <v>1.18591</v>
      </c>
      <c r="F180" t="s">
        <v>199</v>
      </c>
      <c r="G180" t="str">
        <f>MID(F180,LastpositionOfChar(F180,"-")+1,LEN(F180)-LastpositionOfChar(F180,"-")-LEN(".out"))</f>
        <v>m15_n15_t0</v>
      </c>
      <c r="H180" t="str">
        <f t="shared" si="4"/>
        <v>kmeans m15_n15_t0</v>
      </c>
      <c r="I180" t="str">
        <f t="shared" si="5"/>
        <v>TL2</v>
      </c>
    </row>
    <row r="181" spans="1:9" x14ac:dyDescent="0.45">
      <c r="A181" t="s">
        <v>27</v>
      </c>
      <c r="B181" t="s">
        <v>0</v>
      </c>
      <c r="C181">
        <v>8</v>
      </c>
      <c r="D181">
        <v>1</v>
      </c>
      <c r="E181">
        <v>1.1947700000000001</v>
      </c>
      <c r="F181" t="s">
        <v>200</v>
      </c>
      <c r="G181" t="str">
        <f>MID(F181,LastpositionOfChar(F181,"-")+1,LEN(F181)-LastpositionOfChar(F181,"-")-LEN(".out"))</f>
        <v>m15_n15_t0</v>
      </c>
      <c r="H181" t="str">
        <f t="shared" si="4"/>
        <v>kmeans m15_n15_t0</v>
      </c>
      <c r="I181" t="str">
        <f t="shared" si="5"/>
        <v>TL2</v>
      </c>
    </row>
    <row r="182" spans="1:9" x14ac:dyDescent="0.45">
      <c r="A182" t="s">
        <v>36</v>
      </c>
      <c r="B182" t="s">
        <v>0</v>
      </c>
      <c r="C182">
        <v>1</v>
      </c>
      <c r="D182">
        <v>1</v>
      </c>
      <c r="E182">
        <v>65.447913</v>
      </c>
      <c r="F182" t="s">
        <v>201</v>
      </c>
      <c r="G182" t="str">
        <f>MID(F182,LastpositionOfChar(F182,"-")+1,LEN(F182)-LastpositionOfChar(F182,"-")-LEN(".out"))</f>
        <v>i_</v>
      </c>
      <c r="H182" t="str">
        <f t="shared" si="4"/>
        <v>labyrinth i_</v>
      </c>
      <c r="I182" t="str">
        <f t="shared" si="5"/>
        <v>TL2</v>
      </c>
    </row>
    <row r="183" spans="1:9" x14ac:dyDescent="0.45">
      <c r="A183" t="s">
        <v>36</v>
      </c>
      <c r="B183" t="s">
        <v>0</v>
      </c>
      <c r="C183">
        <v>2</v>
      </c>
      <c r="D183">
        <v>1</v>
      </c>
      <c r="E183">
        <v>222.52409700000001</v>
      </c>
      <c r="F183" t="s">
        <v>202</v>
      </c>
      <c r="G183" t="str">
        <f>MID(F183,LastpositionOfChar(F183,"-")+1,LEN(F183)-LastpositionOfChar(F183,"-")-LEN(".out"))</f>
        <v>i_</v>
      </c>
      <c r="H183" t="str">
        <f t="shared" si="4"/>
        <v>labyrinth i_</v>
      </c>
      <c r="I183" t="str">
        <f t="shared" si="5"/>
        <v>TL2</v>
      </c>
    </row>
    <row r="184" spans="1:9" x14ac:dyDescent="0.45">
      <c r="A184" t="s">
        <v>36</v>
      </c>
      <c r="B184" t="s">
        <v>0</v>
      </c>
      <c r="C184">
        <v>4</v>
      </c>
      <c r="D184">
        <v>1</v>
      </c>
      <c r="E184">
        <v>232.56888599999999</v>
      </c>
      <c r="F184" t="s">
        <v>203</v>
      </c>
      <c r="G184" t="str">
        <f>MID(F184,LastpositionOfChar(F184,"-")+1,LEN(F184)-LastpositionOfChar(F184,"-")-LEN(".out"))</f>
        <v>i_</v>
      </c>
      <c r="H184" t="str">
        <f t="shared" si="4"/>
        <v>labyrinth i_</v>
      </c>
      <c r="I184" t="str">
        <f t="shared" si="5"/>
        <v>TL2</v>
      </c>
    </row>
    <row r="185" spans="1:9" x14ac:dyDescent="0.45">
      <c r="A185" t="s">
        <v>36</v>
      </c>
      <c r="B185" t="s">
        <v>0</v>
      </c>
      <c r="C185">
        <v>8</v>
      </c>
      <c r="D185">
        <v>1</v>
      </c>
      <c r="E185">
        <v>245.57234399999999</v>
      </c>
      <c r="F185" t="s">
        <v>204</v>
      </c>
      <c r="G185" t="str">
        <f>MID(F185,LastpositionOfChar(F185,"-")+1,LEN(F185)-LastpositionOfChar(F185,"-")-LEN(".out"))</f>
        <v>i_</v>
      </c>
      <c r="H185" t="str">
        <f t="shared" si="4"/>
        <v>labyrinth i_</v>
      </c>
      <c r="I185" t="str">
        <f t="shared" si="5"/>
        <v>TL2</v>
      </c>
    </row>
    <row r="186" spans="1:9" x14ac:dyDescent="0.45">
      <c r="A186" t="s">
        <v>41</v>
      </c>
      <c r="B186" t="s">
        <v>0</v>
      </c>
      <c r="C186">
        <v>1</v>
      </c>
      <c r="D186">
        <v>1</v>
      </c>
      <c r="E186">
        <v>14.349475</v>
      </c>
      <c r="F186" t="s">
        <v>205</v>
      </c>
      <c r="G186" t="str">
        <f>MID(F186,LastpositionOfChar(F186,"-")+1,LEN(F186)-LastpositionOfChar(F186,"-")-LEN(".out"))</f>
        <v>s20_i1</v>
      </c>
      <c r="H186" t="str">
        <f t="shared" si="4"/>
        <v>ssca2 s20_i1</v>
      </c>
      <c r="I186" t="str">
        <f t="shared" si="5"/>
        <v>TL2</v>
      </c>
    </row>
    <row r="187" spans="1:9" x14ac:dyDescent="0.45">
      <c r="A187" t="s">
        <v>41</v>
      </c>
      <c r="B187" t="s">
        <v>0</v>
      </c>
      <c r="C187">
        <v>2</v>
      </c>
      <c r="D187">
        <v>1</v>
      </c>
      <c r="E187">
        <v>13.424401</v>
      </c>
      <c r="F187" t="s">
        <v>206</v>
      </c>
      <c r="G187" t="str">
        <f>MID(F187,LastpositionOfChar(F187,"-")+1,LEN(F187)-LastpositionOfChar(F187,"-")-LEN(".out"))</f>
        <v>s20_i1</v>
      </c>
      <c r="H187" t="str">
        <f t="shared" si="4"/>
        <v>ssca2 s20_i1</v>
      </c>
      <c r="I187" t="str">
        <f t="shared" si="5"/>
        <v>TL2</v>
      </c>
    </row>
    <row r="188" spans="1:9" x14ac:dyDescent="0.45">
      <c r="A188" t="s">
        <v>41</v>
      </c>
      <c r="B188" t="s">
        <v>0</v>
      </c>
      <c r="C188">
        <v>4</v>
      </c>
      <c r="D188">
        <v>1</v>
      </c>
      <c r="E188">
        <v>12.142476</v>
      </c>
      <c r="F188" t="s">
        <v>207</v>
      </c>
      <c r="G188" t="str">
        <f>MID(F188,LastpositionOfChar(F188,"-")+1,LEN(F188)-LastpositionOfChar(F188,"-")-LEN(".out"))</f>
        <v>s20_i1</v>
      </c>
      <c r="H188" t="str">
        <f t="shared" si="4"/>
        <v>ssca2 s20_i1</v>
      </c>
      <c r="I188" t="str">
        <f t="shared" si="5"/>
        <v>TL2</v>
      </c>
    </row>
    <row r="189" spans="1:9" x14ac:dyDescent="0.45">
      <c r="A189" t="s">
        <v>41</v>
      </c>
      <c r="B189" t="s">
        <v>0</v>
      </c>
      <c r="C189">
        <v>8</v>
      </c>
      <c r="D189">
        <v>1</v>
      </c>
      <c r="E189">
        <v>11.043547</v>
      </c>
      <c r="F189" t="s">
        <v>208</v>
      </c>
      <c r="G189" t="str">
        <f>MID(F189,LastpositionOfChar(F189,"-")+1,LEN(F189)-LastpositionOfChar(F189,"-")-LEN(".out"))</f>
        <v>s20_i1</v>
      </c>
      <c r="H189" t="str">
        <f t="shared" si="4"/>
        <v>ssca2 s20_i1</v>
      </c>
      <c r="I189" t="str">
        <f t="shared" si="5"/>
        <v>TL2</v>
      </c>
    </row>
    <row r="190" spans="1:9" x14ac:dyDescent="0.45">
      <c r="A190" t="s">
        <v>46</v>
      </c>
      <c r="B190" t="s">
        <v>0</v>
      </c>
      <c r="C190">
        <v>1</v>
      </c>
      <c r="D190">
        <v>1</v>
      </c>
      <c r="E190">
        <v>25.163595000000001</v>
      </c>
      <c r="F190" t="s">
        <v>209</v>
      </c>
      <c r="G190" t="str">
        <f>MID(F190,LastpositionOfChar(F190,"-")+1,LEN(F190)-LastpositionOfChar(F190,"-")-LEN(".out"))</f>
        <v>n2_q90_u98_r1048576_t4194304_c</v>
      </c>
      <c r="H190" t="str">
        <f t="shared" si="4"/>
        <v>vacation n2_q90_u98_r1048576_t4194304_c</v>
      </c>
      <c r="I190" t="str">
        <f t="shared" si="5"/>
        <v>TL2</v>
      </c>
    </row>
    <row r="191" spans="1:9" x14ac:dyDescent="0.45">
      <c r="A191" t="s">
        <v>46</v>
      </c>
      <c r="B191" t="s">
        <v>0</v>
      </c>
      <c r="C191">
        <v>2</v>
      </c>
      <c r="D191">
        <v>1</v>
      </c>
      <c r="E191">
        <v>24.166170999999999</v>
      </c>
      <c r="F191" t="s">
        <v>210</v>
      </c>
      <c r="G191" t="str">
        <f>MID(F191,LastpositionOfChar(F191,"-")+1,LEN(F191)-LastpositionOfChar(F191,"-")-LEN(".out"))</f>
        <v>n2_q90_u98_r1048576_t4194304_c</v>
      </c>
      <c r="H191" t="str">
        <f t="shared" si="4"/>
        <v>vacation n2_q90_u98_r1048576_t4194304_c</v>
      </c>
      <c r="I191" t="str">
        <f t="shared" si="5"/>
        <v>TL2</v>
      </c>
    </row>
    <row r="192" spans="1:9" x14ac:dyDescent="0.45">
      <c r="A192" t="s">
        <v>46</v>
      </c>
      <c r="B192" t="s">
        <v>0</v>
      </c>
      <c r="C192">
        <v>4</v>
      </c>
      <c r="D192">
        <v>1</v>
      </c>
      <c r="E192">
        <v>18.597293000000001</v>
      </c>
      <c r="F192" t="s">
        <v>211</v>
      </c>
      <c r="G192" t="str">
        <f>MID(F192,LastpositionOfChar(F192,"-")+1,LEN(F192)-LastpositionOfChar(F192,"-")-LEN(".out"))</f>
        <v>n2_q90_u98_r1048576_t4194304_c</v>
      </c>
      <c r="H192" t="str">
        <f t="shared" si="4"/>
        <v>vacation n2_q90_u98_r1048576_t4194304_c</v>
      </c>
      <c r="I192" t="str">
        <f t="shared" si="5"/>
        <v>TL2</v>
      </c>
    </row>
    <row r="193" spans="1:9" x14ac:dyDescent="0.45">
      <c r="A193" t="s">
        <v>46</v>
      </c>
      <c r="B193" t="s">
        <v>0</v>
      </c>
      <c r="C193">
        <v>8</v>
      </c>
      <c r="D193">
        <v>1</v>
      </c>
      <c r="E193">
        <v>15.686351</v>
      </c>
      <c r="F193" t="s">
        <v>212</v>
      </c>
      <c r="G193" t="str">
        <f>MID(F193,LastpositionOfChar(F193,"-")+1,LEN(F193)-LastpositionOfChar(F193,"-")-LEN(".out"))</f>
        <v>n2_q90_u98_r1048576_t4194304_c</v>
      </c>
      <c r="H193" t="str">
        <f t="shared" si="4"/>
        <v>vacation n2_q90_u98_r1048576_t4194304_c</v>
      </c>
      <c r="I193" t="str">
        <f t="shared" si="5"/>
        <v>TL2</v>
      </c>
    </row>
    <row r="194" spans="1:9" x14ac:dyDescent="0.45">
      <c r="A194" t="s">
        <v>46</v>
      </c>
      <c r="B194" t="s">
        <v>0</v>
      </c>
      <c r="C194">
        <v>1</v>
      </c>
      <c r="D194">
        <v>1</v>
      </c>
      <c r="E194">
        <v>38.897436999999996</v>
      </c>
      <c r="F194" t="s">
        <v>213</v>
      </c>
      <c r="G194" t="str">
        <f>MID(F194,LastpositionOfChar(F194,"-")+1,LEN(F194)-LastpositionOfChar(F194,"-")-LEN(".out"))</f>
        <v>n4_q60_u90_r1048576_t4194304_c</v>
      </c>
      <c r="H194" t="str">
        <f t="shared" si="4"/>
        <v>vacation n4_q60_u90_r1048576_t4194304_c</v>
      </c>
      <c r="I194" t="str">
        <f t="shared" si="5"/>
        <v>TL2</v>
      </c>
    </row>
    <row r="195" spans="1:9" x14ac:dyDescent="0.45">
      <c r="A195" t="s">
        <v>46</v>
      </c>
      <c r="B195" t="s">
        <v>0</v>
      </c>
      <c r="C195">
        <v>2</v>
      </c>
      <c r="D195">
        <v>1</v>
      </c>
      <c r="E195">
        <v>35.84957</v>
      </c>
      <c r="F195" t="s">
        <v>214</v>
      </c>
      <c r="G195" t="str">
        <f>MID(F195,LastpositionOfChar(F195,"-")+1,LEN(F195)-LastpositionOfChar(F195,"-")-LEN(".out"))</f>
        <v>n4_q60_u90_r1048576_t4194304_c</v>
      </c>
      <c r="H195" t="str">
        <f t="shared" ref="H195:H258" si="6">A195&amp;" "&amp;G195</f>
        <v>vacation n4_q60_u90_r1048576_t4194304_c</v>
      </c>
      <c r="I195" t="str">
        <f t="shared" ref="I195:I258" si="7">VLOOKUP(B195,T$2:U$5,2,FALSE)</f>
        <v>TL2</v>
      </c>
    </row>
    <row r="196" spans="1:9" x14ac:dyDescent="0.45">
      <c r="A196" t="s">
        <v>46</v>
      </c>
      <c r="B196" t="s">
        <v>0</v>
      </c>
      <c r="C196">
        <v>4</v>
      </c>
      <c r="D196">
        <v>1</v>
      </c>
      <c r="E196">
        <v>27.196411999999999</v>
      </c>
      <c r="F196" t="s">
        <v>215</v>
      </c>
      <c r="G196" t="str">
        <f>MID(F196,LastpositionOfChar(F196,"-")+1,LEN(F196)-LastpositionOfChar(F196,"-")-LEN(".out"))</f>
        <v>n4_q60_u90_r1048576_t4194304_c</v>
      </c>
      <c r="H196" t="str">
        <f t="shared" si="6"/>
        <v>vacation n4_q60_u90_r1048576_t4194304_c</v>
      </c>
      <c r="I196" t="str">
        <f t="shared" si="7"/>
        <v>TL2</v>
      </c>
    </row>
    <row r="197" spans="1:9" x14ac:dyDescent="0.45">
      <c r="A197" t="s">
        <v>46</v>
      </c>
      <c r="B197" t="s">
        <v>0</v>
      </c>
      <c r="C197">
        <v>8</v>
      </c>
      <c r="D197">
        <v>1</v>
      </c>
      <c r="E197">
        <v>20.616709</v>
      </c>
      <c r="F197" t="s">
        <v>216</v>
      </c>
      <c r="G197" t="str">
        <f>MID(F197,LastpositionOfChar(F197,"-")+1,LEN(F197)-LastpositionOfChar(F197,"-")-LEN(".out"))</f>
        <v>n4_q60_u90_r1048576_t4194304_c</v>
      </c>
      <c r="H197" t="str">
        <f t="shared" si="6"/>
        <v>vacation n4_q60_u90_r1048576_t4194304_c</v>
      </c>
      <c r="I197" t="str">
        <f t="shared" si="7"/>
        <v>TL2</v>
      </c>
    </row>
    <row r="198" spans="1:9" x14ac:dyDescent="0.45">
      <c r="A198" t="s">
        <v>55</v>
      </c>
      <c r="B198" t="s">
        <v>0</v>
      </c>
      <c r="C198">
        <v>1</v>
      </c>
      <c r="D198">
        <v>1</v>
      </c>
      <c r="E198">
        <v>20.364999999999998</v>
      </c>
      <c r="F198" t="s">
        <v>217</v>
      </c>
      <c r="G198" t="str">
        <f>MID(F198,LastpositionOfChar(F198,"-")+1,LEN(F198)-LastpositionOfChar(F198,"-")-LEN(".out"))</f>
        <v>a15_i_</v>
      </c>
      <c r="H198" t="str">
        <f t="shared" si="6"/>
        <v>yada a15_i_</v>
      </c>
      <c r="I198" t="str">
        <f t="shared" si="7"/>
        <v>TL2</v>
      </c>
    </row>
    <row r="199" spans="1:9" x14ac:dyDescent="0.45">
      <c r="A199" t="s">
        <v>55</v>
      </c>
      <c r="B199" t="s">
        <v>0</v>
      </c>
      <c r="C199">
        <v>2</v>
      </c>
      <c r="D199">
        <v>1</v>
      </c>
      <c r="E199">
        <v>28.600999999999999</v>
      </c>
      <c r="F199" t="s">
        <v>218</v>
      </c>
      <c r="G199" t="str">
        <f>MID(F199,LastpositionOfChar(F199,"-")+1,LEN(F199)-LastpositionOfChar(F199,"-")-LEN(".out"))</f>
        <v>a15_i_</v>
      </c>
      <c r="H199" t="str">
        <f t="shared" si="6"/>
        <v>yada a15_i_</v>
      </c>
      <c r="I199" t="str">
        <f t="shared" si="7"/>
        <v>TL2</v>
      </c>
    </row>
    <row r="200" spans="1:9" x14ac:dyDescent="0.45">
      <c r="A200" t="s">
        <v>55</v>
      </c>
      <c r="B200" t="s">
        <v>0</v>
      </c>
      <c r="C200">
        <v>4</v>
      </c>
      <c r="D200">
        <v>1</v>
      </c>
      <c r="E200">
        <v>28.067</v>
      </c>
      <c r="F200" t="s">
        <v>219</v>
      </c>
      <c r="G200" t="str">
        <f>MID(F200,LastpositionOfChar(F200,"-")+1,LEN(F200)-LastpositionOfChar(F200,"-")-LEN(".out"))</f>
        <v>a15_i_</v>
      </c>
      <c r="H200" t="str">
        <f t="shared" si="6"/>
        <v>yada a15_i_</v>
      </c>
      <c r="I200" t="str">
        <f t="shared" si="7"/>
        <v>TL2</v>
      </c>
    </row>
    <row r="201" spans="1:9" x14ac:dyDescent="0.45">
      <c r="A201" t="s">
        <v>55</v>
      </c>
      <c r="B201" t="s">
        <v>0</v>
      </c>
      <c r="C201">
        <v>8</v>
      </c>
      <c r="D201">
        <v>1</v>
      </c>
      <c r="E201">
        <v>28.108000000000001</v>
      </c>
      <c r="F201" t="s">
        <v>220</v>
      </c>
      <c r="G201" t="str">
        <f>MID(F201,LastpositionOfChar(F201,"-")+1,LEN(F201)-LastpositionOfChar(F201,"-")-LEN(".out"))</f>
        <v>a15_i_</v>
      </c>
      <c r="H201" t="str">
        <f t="shared" si="6"/>
        <v>yada a15_i_</v>
      </c>
      <c r="I201" t="str">
        <f t="shared" si="7"/>
        <v>TL2</v>
      </c>
    </row>
    <row r="202" spans="1:9" x14ac:dyDescent="0.45">
      <c r="A202" t="s">
        <v>12</v>
      </c>
      <c r="B202" t="s">
        <v>9</v>
      </c>
      <c r="C202">
        <v>1</v>
      </c>
      <c r="D202">
        <v>1</v>
      </c>
      <c r="E202">
        <v>30.916</v>
      </c>
      <c r="F202" t="s">
        <v>221</v>
      </c>
      <c r="G202" t="str">
        <f>MID(F202,LastpositionOfChar(F202,"-")+1,LEN(F202)-LastpositionOfChar(F202,"-")-LEN(".out"))</f>
        <v>v32_r4096_n10_p40_i2_e8_s1_t</v>
      </c>
      <c r="H202" t="str">
        <f t="shared" si="6"/>
        <v>bayes v32_r4096_n10_p40_i2_e8_s1_t</v>
      </c>
      <c r="I202" t="str">
        <f t="shared" si="7"/>
        <v>TLE</v>
      </c>
    </row>
    <row r="203" spans="1:9" x14ac:dyDescent="0.45">
      <c r="A203" t="s">
        <v>12</v>
      </c>
      <c r="B203" t="s">
        <v>9</v>
      </c>
      <c r="C203">
        <v>2</v>
      </c>
      <c r="D203">
        <v>1</v>
      </c>
      <c r="E203">
        <v>37.338200000000001</v>
      </c>
      <c r="F203" t="s">
        <v>222</v>
      </c>
      <c r="G203" t="str">
        <f>MID(F203,LastpositionOfChar(F203,"-")+1,LEN(F203)-LastpositionOfChar(F203,"-")-LEN(".out"))</f>
        <v>v32_r4096_n10_p40_i2_e8_s1_t</v>
      </c>
      <c r="H203" t="str">
        <f t="shared" si="6"/>
        <v>bayes v32_r4096_n10_p40_i2_e8_s1_t</v>
      </c>
      <c r="I203" t="str">
        <f t="shared" si="7"/>
        <v>TLE</v>
      </c>
    </row>
    <row r="204" spans="1:9" x14ac:dyDescent="0.45">
      <c r="A204" t="s">
        <v>12</v>
      </c>
      <c r="B204" t="s">
        <v>9</v>
      </c>
      <c r="C204">
        <v>4</v>
      </c>
      <c r="D204">
        <v>1</v>
      </c>
      <c r="E204">
        <v>27.9575</v>
      </c>
      <c r="F204" t="s">
        <v>223</v>
      </c>
      <c r="G204" t="str">
        <f>MID(F204,LastpositionOfChar(F204,"-")+1,LEN(F204)-LastpositionOfChar(F204,"-")-LEN(".out"))</f>
        <v>v32_r4096_n10_p40_i2_e8_s1_t</v>
      </c>
      <c r="H204" t="str">
        <f t="shared" si="6"/>
        <v>bayes v32_r4096_n10_p40_i2_e8_s1_t</v>
      </c>
      <c r="I204" t="str">
        <f t="shared" si="7"/>
        <v>TLE</v>
      </c>
    </row>
    <row r="205" spans="1:9" x14ac:dyDescent="0.45">
      <c r="A205" t="s">
        <v>12</v>
      </c>
      <c r="B205" t="s">
        <v>9</v>
      </c>
      <c r="C205">
        <v>8</v>
      </c>
      <c r="D205">
        <v>1</v>
      </c>
      <c r="E205">
        <v>43.9803</v>
      </c>
      <c r="F205" t="s">
        <v>224</v>
      </c>
      <c r="G205" t="str">
        <f>MID(F205,LastpositionOfChar(F205,"-")+1,LEN(F205)-LastpositionOfChar(F205,"-")-LEN(".out"))</f>
        <v>v32_r4096_n10_p40_i2_e8_s1_t</v>
      </c>
      <c r="H205" t="str">
        <f t="shared" si="6"/>
        <v>bayes v32_r4096_n10_p40_i2_e8_s1_t</v>
      </c>
      <c r="I205" t="str">
        <f t="shared" si="7"/>
        <v>TLE</v>
      </c>
    </row>
    <row r="206" spans="1:9" x14ac:dyDescent="0.45">
      <c r="A206" t="s">
        <v>17</v>
      </c>
      <c r="B206" t="s">
        <v>9</v>
      </c>
      <c r="C206">
        <v>1</v>
      </c>
      <c r="D206">
        <v>1</v>
      </c>
      <c r="E206">
        <v>4.9105559999999997</v>
      </c>
      <c r="F206" t="s">
        <v>225</v>
      </c>
      <c r="G206" t="str">
        <f>MID(F206,LastpositionOfChar(F206,"-")+1,LEN(F206)-LastpositionOfChar(F206,"-")-LEN(".out"))</f>
        <v>g16384_s64_n16777216_t</v>
      </c>
      <c r="H206" t="str">
        <f t="shared" si="6"/>
        <v>genome g16384_s64_n16777216_t</v>
      </c>
      <c r="I206" t="str">
        <f t="shared" si="7"/>
        <v>TLE</v>
      </c>
    </row>
    <row r="207" spans="1:9" x14ac:dyDescent="0.45">
      <c r="A207" t="s">
        <v>17</v>
      </c>
      <c r="B207" t="s">
        <v>9</v>
      </c>
      <c r="C207">
        <v>2</v>
      </c>
      <c r="D207">
        <v>1</v>
      </c>
      <c r="E207">
        <v>4.8034049999999997</v>
      </c>
      <c r="F207" t="s">
        <v>226</v>
      </c>
      <c r="G207" t="str">
        <f>MID(F207,LastpositionOfChar(F207,"-")+1,LEN(F207)-LastpositionOfChar(F207,"-")-LEN(".out"))</f>
        <v>g16384_s64_n16777216_t</v>
      </c>
      <c r="H207" t="str">
        <f t="shared" si="6"/>
        <v>genome g16384_s64_n16777216_t</v>
      </c>
      <c r="I207" t="str">
        <f t="shared" si="7"/>
        <v>TLE</v>
      </c>
    </row>
    <row r="208" spans="1:9" x14ac:dyDescent="0.45">
      <c r="A208" t="s">
        <v>17</v>
      </c>
      <c r="B208" t="s">
        <v>9</v>
      </c>
      <c r="C208">
        <v>4</v>
      </c>
      <c r="D208">
        <v>1</v>
      </c>
      <c r="E208">
        <v>4.7971890000000004</v>
      </c>
      <c r="F208" t="s">
        <v>227</v>
      </c>
      <c r="G208" t="str">
        <f>MID(F208,LastpositionOfChar(F208,"-")+1,LEN(F208)-LastpositionOfChar(F208,"-")-LEN(".out"))</f>
        <v>g16384_s64_n16777216_t</v>
      </c>
      <c r="H208" t="str">
        <f t="shared" si="6"/>
        <v>genome g16384_s64_n16777216_t</v>
      </c>
      <c r="I208" t="str">
        <f t="shared" si="7"/>
        <v>TLE</v>
      </c>
    </row>
    <row r="209" spans="1:9" x14ac:dyDescent="0.45">
      <c r="A209" t="s">
        <v>17</v>
      </c>
      <c r="B209" t="s">
        <v>9</v>
      </c>
      <c r="C209">
        <v>8</v>
      </c>
      <c r="D209">
        <v>1</v>
      </c>
      <c r="E209">
        <v>5.7752629999999998</v>
      </c>
      <c r="F209" t="s">
        <v>228</v>
      </c>
      <c r="G209" t="str">
        <f>MID(F209,LastpositionOfChar(F209,"-")+1,LEN(F209)-LastpositionOfChar(F209,"-")-LEN(".out"))</f>
        <v>g16384_s64_n16777216_t</v>
      </c>
      <c r="H209" t="str">
        <f t="shared" si="6"/>
        <v>genome g16384_s64_n16777216_t</v>
      </c>
      <c r="I209" t="str">
        <f t="shared" si="7"/>
        <v>TLE</v>
      </c>
    </row>
    <row r="210" spans="1:9" x14ac:dyDescent="0.45">
      <c r="A210" t="s">
        <v>22</v>
      </c>
      <c r="B210" t="s">
        <v>9</v>
      </c>
      <c r="C210">
        <v>1</v>
      </c>
      <c r="D210">
        <v>1</v>
      </c>
      <c r="F210" t="s">
        <v>229</v>
      </c>
      <c r="G210" t="str">
        <f>MID(F210,LastpositionOfChar(F210,"-")+1,LEN(F210)-LastpositionOfChar(F210,"-")-LEN(".out"))</f>
        <v>a10_l128_n262144_s1_t</v>
      </c>
      <c r="H210" t="str">
        <f t="shared" si="6"/>
        <v>intruder a10_l128_n262144_s1_t</v>
      </c>
      <c r="I210" t="str">
        <f t="shared" si="7"/>
        <v>TLE</v>
      </c>
    </row>
    <row r="211" spans="1:9" x14ac:dyDescent="0.45">
      <c r="A211" t="s">
        <v>22</v>
      </c>
      <c r="B211" t="s">
        <v>9</v>
      </c>
      <c r="C211">
        <v>2</v>
      </c>
      <c r="D211">
        <v>1</v>
      </c>
      <c r="F211" t="s">
        <v>230</v>
      </c>
      <c r="G211" t="str">
        <f>MID(F211,LastpositionOfChar(F211,"-")+1,LEN(F211)-LastpositionOfChar(F211,"-")-LEN(".out"))</f>
        <v>a10_l128_n262144_s1_t</v>
      </c>
      <c r="H211" t="str">
        <f t="shared" si="6"/>
        <v>intruder a10_l128_n262144_s1_t</v>
      </c>
      <c r="I211" t="str">
        <f t="shared" si="7"/>
        <v>TLE</v>
      </c>
    </row>
    <row r="212" spans="1:9" x14ac:dyDescent="0.45">
      <c r="A212" t="s">
        <v>22</v>
      </c>
      <c r="B212" t="s">
        <v>9</v>
      </c>
      <c r="C212">
        <v>4</v>
      </c>
      <c r="D212">
        <v>1</v>
      </c>
      <c r="F212" t="s">
        <v>231</v>
      </c>
      <c r="G212" t="str">
        <f>MID(F212,LastpositionOfChar(F212,"-")+1,LEN(F212)-LastpositionOfChar(F212,"-")-LEN(".out"))</f>
        <v>a10_l128_n262144_s1_t</v>
      </c>
      <c r="H212" t="str">
        <f t="shared" si="6"/>
        <v>intruder a10_l128_n262144_s1_t</v>
      </c>
      <c r="I212" t="str">
        <f t="shared" si="7"/>
        <v>TLE</v>
      </c>
    </row>
    <row r="213" spans="1:9" x14ac:dyDescent="0.45">
      <c r="A213" t="s">
        <v>22</v>
      </c>
      <c r="B213" t="s">
        <v>9</v>
      </c>
      <c r="C213">
        <v>8</v>
      </c>
      <c r="D213">
        <v>1</v>
      </c>
      <c r="F213" t="s">
        <v>232</v>
      </c>
      <c r="G213" t="str">
        <f>MID(F213,LastpositionOfChar(F213,"-")+1,LEN(F213)-LastpositionOfChar(F213,"-")-LEN(".out"))</f>
        <v>a10_l128_n262144_s1_t</v>
      </c>
      <c r="H213" t="str">
        <f t="shared" si="6"/>
        <v>intruder a10_l128_n262144_s1_t</v>
      </c>
      <c r="I213" t="str">
        <f t="shared" si="7"/>
        <v>TLE</v>
      </c>
    </row>
    <row r="214" spans="1:9" x14ac:dyDescent="0.45">
      <c r="A214" t="s">
        <v>27</v>
      </c>
      <c r="B214" t="s">
        <v>9</v>
      </c>
      <c r="C214">
        <v>1</v>
      </c>
      <c r="D214">
        <v>1</v>
      </c>
      <c r="E214">
        <v>7.2698700000000001</v>
      </c>
      <c r="F214" t="s">
        <v>233</v>
      </c>
      <c r="G214" t="str">
        <f>MID(F214,LastpositionOfChar(F214,"-")+1,LEN(F214)-LastpositionOfChar(F214,"-")-LEN(".out"))</f>
        <v>m40_n40_t0</v>
      </c>
      <c r="H214" t="str">
        <f t="shared" si="6"/>
        <v>kmeans m40_n40_t0</v>
      </c>
      <c r="I214" t="str">
        <f t="shared" si="7"/>
        <v>TLE</v>
      </c>
    </row>
    <row r="215" spans="1:9" x14ac:dyDescent="0.45">
      <c r="A215" t="s">
        <v>27</v>
      </c>
      <c r="B215" t="s">
        <v>9</v>
      </c>
      <c r="C215">
        <v>2</v>
      </c>
      <c r="D215">
        <v>1</v>
      </c>
      <c r="E215">
        <v>4.4725000000000001</v>
      </c>
      <c r="F215" t="s">
        <v>234</v>
      </c>
      <c r="G215" t="str">
        <f>MID(F215,LastpositionOfChar(F215,"-")+1,LEN(F215)-LastpositionOfChar(F215,"-")-LEN(".out"))</f>
        <v>m40_n40_t0</v>
      </c>
      <c r="H215" t="str">
        <f t="shared" si="6"/>
        <v>kmeans m40_n40_t0</v>
      </c>
      <c r="I215" t="str">
        <f t="shared" si="7"/>
        <v>TLE</v>
      </c>
    </row>
    <row r="216" spans="1:9" x14ac:dyDescent="0.45">
      <c r="A216" t="s">
        <v>27</v>
      </c>
      <c r="B216" t="s">
        <v>9</v>
      </c>
      <c r="C216">
        <v>4</v>
      </c>
      <c r="D216">
        <v>1</v>
      </c>
      <c r="E216">
        <v>2.36802</v>
      </c>
      <c r="F216" t="s">
        <v>235</v>
      </c>
      <c r="G216" t="str">
        <f>MID(F216,LastpositionOfChar(F216,"-")+1,LEN(F216)-LastpositionOfChar(F216,"-")-LEN(".out"))</f>
        <v>m40_n40_t0</v>
      </c>
      <c r="H216" t="str">
        <f t="shared" si="6"/>
        <v>kmeans m40_n40_t0</v>
      </c>
      <c r="I216" t="str">
        <f t="shared" si="7"/>
        <v>TLE</v>
      </c>
    </row>
    <row r="217" spans="1:9" x14ac:dyDescent="0.45">
      <c r="A217" t="s">
        <v>27</v>
      </c>
      <c r="B217" t="s">
        <v>9</v>
      </c>
      <c r="C217">
        <v>8</v>
      </c>
      <c r="D217">
        <v>1</v>
      </c>
      <c r="E217">
        <v>6.4535499999999999</v>
      </c>
      <c r="F217" t="s">
        <v>236</v>
      </c>
      <c r="G217" t="str">
        <f>MID(F217,LastpositionOfChar(F217,"-")+1,LEN(F217)-LastpositionOfChar(F217,"-")-LEN(".out"))</f>
        <v>m40_n40_t0</v>
      </c>
      <c r="H217" t="str">
        <f t="shared" si="6"/>
        <v>kmeans m40_n40_t0</v>
      </c>
      <c r="I217" t="str">
        <f t="shared" si="7"/>
        <v>TLE</v>
      </c>
    </row>
    <row r="218" spans="1:9" x14ac:dyDescent="0.45">
      <c r="A218" t="s">
        <v>27</v>
      </c>
      <c r="B218" t="s">
        <v>9</v>
      </c>
      <c r="C218">
        <v>1</v>
      </c>
      <c r="D218">
        <v>1</v>
      </c>
      <c r="E218">
        <v>1.4244699999999999</v>
      </c>
      <c r="F218" t="s">
        <v>237</v>
      </c>
      <c r="G218" t="str">
        <f>MID(F218,LastpositionOfChar(F218,"-")+1,LEN(F218)-LastpositionOfChar(F218,"-")-LEN(".out"))</f>
        <v>m15_n15_t0</v>
      </c>
      <c r="H218" t="str">
        <f t="shared" si="6"/>
        <v>kmeans m15_n15_t0</v>
      </c>
      <c r="I218" t="str">
        <f t="shared" si="7"/>
        <v>TLE</v>
      </c>
    </row>
    <row r="219" spans="1:9" x14ac:dyDescent="0.45">
      <c r="A219" t="s">
        <v>27</v>
      </c>
      <c r="B219" t="s">
        <v>9</v>
      </c>
      <c r="C219">
        <v>2</v>
      </c>
      <c r="D219">
        <v>1</v>
      </c>
      <c r="E219">
        <v>1.1432800000000001</v>
      </c>
      <c r="F219" t="s">
        <v>238</v>
      </c>
      <c r="G219" t="str">
        <f>MID(F219,LastpositionOfChar(F219,"-")+1,LEN(F219)-LastpositionOfChar(F219,"-")-LEN(".out"))</f>
        <v>m15_n15_t0</v>
      </c>
      <c r="H219" t="str">
        <f t="shared" si="6"/>
        <v>kmeans m15_n15_t0</v>
      </c>
      <c r="I219" t="str">
        <f t="shared" si="7"/>
        <v>TLE</v>
      </c>
    </row>
    <row r="220" spans="1:9" x14ac:dyDescent="0.45">
      <c r="A220" t="s">
        <v>27</v>
      </c>
      <c r="B220" t="s">
        <v>9</v>
      </c>
      <c r="C220">
        <v>4</v>
      </c>
      <c r="D220">
        <v>1</v>
      </c>
      <c r="E220">
        <v>1.1537299999999999</v>
      </c>
      <c r="F220" t="s">
        <v>239</v>
      </c>
      <c r="G220" t="str">
        <f>MID(F220,LastpositionOfChar(F220,"-")+1,LEN(F220)-LastpositionOfChar(F220,"-")-LEN(".out"))</f>
        <v>m15_n15_t0</v>
      </c>
      <c r="H220" t="str">
        <f t="shared" si="6"/>
        <v>kmeans m15_n15_t0</v>
      </c>
      <c r="I220" t="str">
        <f t="shared" si="7"/>
        <v>TLE</v>
      </c>
    </row>
    <row r="221" spans="1:9" x14ac:dyDescent="0.45">
      <c r="A221" t="s">
        <v>27</v>
      </c>
      <c r="B221" t="s">
        <v>9</v>
      </c>
      <c r="C221">
        <v>8</v>
      </c>
      <c r="D221">
        <v>1</v>
      </c>
      <c r="E221">
        <v>2.7171699999999999</v>
      </c>
      <c r="F221" t="s">
        <v>240</v>
      </c>
      <c r="G221" t="str">
        <f>MID(F221,LastpositionOfChar(F221,"-")+1,LEN(F221)-LastpositionOfChar(F221,"-")-LEN(".out"))</f>
        <v>m15_n15_t0</v>
      </c>
      <c r="H221" t="str">
        <f t="shared" si="6"/>
        <v>kmeans m15_n15_t0</v>
      </c>
      <c r="I221" t="str">
        <f t="shared" si="7"/>
        <v>TLE</v>
      </c>
    </row>
    <row r="222" spans="1:9" x14ac:dyDescent="0.45">
      <c r="A222" t="s">
        <v>36</v>
      </c>
      <c r="B222" t="s">
        <v>9</v>
      </c>
      <c r="C222">
        <v>1</v>
      </c>
      <c r="D222">
        <v>1</v>
      </c>
      <c r="E222">
        <v>66.728956999999994</v>
      </c>
      <c r="F222" t="s">
        <v>241</v>
      </c>
      <c r="G222" t="str">
        <f>MID(F222,LastpositionOfChar(F222,"-")+1,LEN(F222)-LastpositionOfChar(F222,"-")-LEN(".out"))</f>
        <v>i_</v>
      </c>
      <c r="H222" t="str">
        <f t="shared" si="6"/>
        <v>labyrinth i_</v>
      </c>
      <c r="I222" t="str">
        <f t="shared" si="7"/>
        <v>TLE</v>
      </c>
    </row>
    <row r="223" spans="1:9" x14ac:dyDescent="0.45">
      <c r="A223" t="s">
        <v>36</v>
      </c>
      <c r="B223" t="s">
        <v>9</v>
      </c>
      <c r="C223">
        <v>2</v>
      </c>
      <c r="D223">
        <v>1</v>
      </c>
      <c r="E223">
        <v>89.674694000000002</v>
      </c>
      <c r="F223" t="s">
        <v>242</v>
      </c>
      <c r="G223" t="str">
        <f>MID(F223,LastpositionOfChar(F223,"-")+1,LEN(F223)-LastpositionOfChar(F223,"-")-LEN(".out"))</f>
        <v>i_</v>
      </c>
      <c r="H223" t="str">
        <f t="shared" si="6"/>
        <v>labyrinth i_</v>
      </c>
      <c r="I223" t="str">
        <f t="shared" si="7"/>
        <v>TLE</v>
      </c>
    </row>
    <row r="224" spans="1:9" x14ac:dyDescent="0.45">
      <c r="A224" t="s">
        <v>36</v>
      </c>
      <c r="B224" t="s">
        <v>9</v>
      </c>
      <c r="C224">
        <v>4</v>
      </c>
      <c r="D224">
        <v>1</v>
      </c>
      <c r="E224">
        <v>94.328192999999999</v>
      </c>
      <c r="F224" t="s">
        <v>243</v>
      </c>
      <c r="G224" t="str">
        <f>MID(F224,LastpositionOfChar(F224,"-")+1,LEN(F224)-LastpositionOfChar(F224,"-")-LEN(".out"))</f>
        <v>i_</v>
      </c>
      <c r="H224" t="str">
        <f t="shared" si="6"/>
        <v>labyrinth i_</v>
      </c>
      <c r="I224" t="str">
        <f t="shared" si="7"/>
        <v>TLE</v>
      </c>
    </row>
    <row r="225" spans="1:9" x14ac:dyDescent="0.45">
      <c r="A225" t="s">
        <v>36</v>
      </c>
      <c r="B225" t="s">
        <v>9</v>
      </c>
      <c r="C225">
        <v>8</v>
      </c>
      <c r="D225">
        <v>1</v>
      </c>
      <c r="E225">
        <v>130.81659500000001</v>
      </c>
      <c r="F225" t="s">
        <v>244</v>
      </c>
      <c r="G225" t="str">
        <f>MID(F225,LastpositionOfChar(F225,"-")+1,LEN(F225)-LastpositionOfChar(F225,"-")-LEN(".out"))</f>
        <v>i_</v>
      </c>
      <c r="H225" t="str">
        <f t="shared" si="6"/>
        <v>labyrinth i_</v>
      </c>
      <c r="I225" t="str">
        <f t="shared" si="7"/>
        <v>TLE</v>
      </c>
    </row>
    <row r="226" spans="1:9" x14ac:dyDescent="0.45">
      <c r="A226" t="s">
        <v>41</v>
      </c>
      <c r="B226" t="s">
        <v>9</v>
      </c>
      <c r="C226">
        <v>1</v>
      </c>
      <c r="D226">
        <v>1</v>
      </c>
      <c r="E226">
        <v>10.910966999999999</v>
      </c>
      <c r="F226" t="s">
        <v>245</v>
      </c>
      <c r="G226" t="str">
        <f>MID(F226,LastpositionOfChar(F226,"-")+1,LEN(F226)-LastpositionOfChar(F226,"-")-LEN(".out"))</f>
        <v>s20_i1</v>
      </c>
      <c r="H226" t="str">
        <f t="shared" si="6"/>
        <v>ssca2 s20_i1</v>
      </c>
      <c r="I226" t="str">
        <f t="shared" si="7"/>
        <v>TLE</v>
      </c>
    </row>
    <row r="227" spans="1:9" x14ac:dyDescent="0.45">
      <c r="A227" t="s">
        <v>41</v>
      </c>
      <c r="B227" t="s">
        <v>9</v>
      </c>
      <c r="C227">
        <v>2</v>
      </c>
      <c r="D227">
        <v>1</v>
      </c>
      <c r="E227">
        <v>11.61971</v>
      </c>
      <c r="F227" t="s">
        <v>246</v>
      </c>
      <c r="G227" t="str">
        <f>MID(F227,LastpositionOfChar(F227,"-")+1,LEN(F227)-LastpositionOfChar(F227,"-")-LEN(".out"))</f>
        <v>s20_i1</v>
      </c>
      <c r="H227" t="str">
        <f t="shared" si="6"/>
        <v>ssca2 s20_i1</v>
      </c>
      <c r="I227" t="str">
        <f t="shared" si="7"/>
        <v>TLE</v>
      </c>
    </row>
    <row r="228" spans="1:9" x14ac:dyDescent="0.45">
      <c r="A228" t="s">
        <v>41</v>
      </c>
      <c r="B228" t="s">
        <v>9</v>
      </c>
      <c r="C228">
        <v>4</v>
      </c>
      <c r="D228">
        <v>1</v>
      </c>
      <c r="E228">
        <v>10.734261999999999</v>
      </c>
      <c r="F228" t="s">
        <v>247</v>
      </c>
      <c r="G228" t="str">
        <f>MID(F228,LastpositionOfChar(F228,"-")+1,LEN(F228)-LastpositionOfChar(F228,"-")-LEN(".out"))</f>
        <v>s20_i1</v>
      </c>
      <c r="H228" t="str">
        <f t="shared" si="6"/>
        <v>ssca2 s20_i1</v>
      </c>
      <c r="I228" t="str">
        <f t="shared" si="7"/>
        <v>TLE</v>
      </c>
    </row>
    <row r="229" spans="1:9" x14ac:dyDescent="0.45">
      <c r="A229" t="s">
        <v>41</v>
      </c>
      <c r="B229" t="s">
        <v>9</v>
      </c>
      <c r="C229">
        <v>8</v>
      </c>
      <c r="D229">
        <v>1</v>
      </c>
      <c r="E229">
        <v>10.386977</v>
      </c>
      <c r="F229" t="s">
        <v>248</v>
      </c>
      <c r="G229" t="str">
        <f>MID(F229,LastpositionOfChar(F229,"-")+1,LEN(F229)-LastpositionOfChar(F229,"-")-LEN(".out"))</f>
        <v>s20_i1</v>
      </c>
      <c r="H229" t="str">
        <f t="shared" si="6"/>
        <v>ssca2 s20_i1</v>
      </c>
      <c r="I229" t="str">
        <f t="shared" si="7"/>
        <v>TLE</v>
      </c>
    </row>
    <row r="230" spans="1:9" x14ac:dyDescent="0.45">
      <c r="A230" t="s">
        <v>46</v>
      </c>
      <c r="B230" t="s">
        <v>9</v>
      </c>
      <c r="C230">
        <v>1</v>
      </c>
      <c r="D230">
        <v>1</v>
      </c>
      <c r="F230" t="s">
        <v>249</v>
      </c>
      <c r="G230" t="str">
        <f>MID(F230,LastpositionOfChar(F230,"-")+1,LEN(F230)-LastpositionOfChar(F230,"-")-LEN(".out"))</f>
        <v>n2_q90_u98_r1048576_t4194304_c</v>
      </c>
      <c r="H230" t="str">
        <f t="shared" si="6"/>
        <v>vacation n2_q90_u98_r1048576_t4194304_c</v>
      </c>
      <c r="I230" t="str">
        <f t="shared" si="7"/>
        <v>TLE</v>
      </c>
    </row>
    <row r="231" spans="1:9" x14ac:dyDescent="0.45">
      <c r="A231" t="s">
        <v>46</v>
      </c>
      <c r="B231" t="s">
        <v>9</v>
      </c>
      <c r="C231">
        <v>2</v>
      </c>
      <c r="D231">
        <v>1</v>
      </c>
      <c r="F231" t="s">
        <v>250</v>
      </c>
      <c r="G231" t="str">
        <f>MID(F231,LastpositionOfChar(F231,"-")+1,LEN(F231)-LastpositionOfChar(F231,"-")-LEN(".out"))</f>
        <v>n2_q90_u98_r1048576_t4194304_c</v>
      </c>
      <c r="H231" t="str">
        <f t="shared" si="6"/>
        <v>vacation n2_q90_u98_r1048576_t4194304_c</v>
      </c>
      <c r="I231" t="str">
        <f t="shared" si="7"/>
        <v>TLE</v>
      </c>
    </row>
    <row r="232" spans="1:9" x14ac:dyDescent="0.45">
      <c r="A232" t="s">
        <v>46</v>
      </c>
      <c r="B232" t="s">
        <v>9</v>
      </c>
      <c r="C232">
        <v>4</v>
      </c>
      <c r="D232">
        <v>1</v>
      </c>
      <c r="F232" t="s">
        <v>251</v>
      </c>
      <c r="G232" t="str">
        <f>MID(F232,LastpositionOfChar(F232,"-")+1,LEN(F232)-LastpositionOfChar(F232,"-")-LEN(".out"))</f>
        <v>n2_q90_u98_r1048576_t4194304_c</v>
      </c>
      <c r="H232" t="str">
        <f t="shared" si="6"/>
        <v>vacation n2_q90_u98_r1048576_t4194304_c</v>
      </c>
      <c r="I232" t="str">
        <f t="shared" si="7"/>
        <v>TLE</v>
      </c>
    </row>
    <row r="233" spans="1:9" x14ac:dyDescent="0.45">
      <c r="A233" t="s">
        <v>46</v>
      </c>
      <c r="B233" t="s">
        <v>9</v>
      </c>
      <c r="C233">
        <v>8</v>
      </c>
      <c r="D233">
        <v>1</v>
      </c>
      <c r="F233" t="s">
        <v>252</v>
      </c>
      <c r="G233" t="str">
        <f>MID(F233,LastpositionOfChar(F233,"-")+1,LEN(F233)-LastpositionOfChar(F233,"-")-LEN(".out"))</f>
        <v>n2_q90_u98_r1048576_t4194304_c</v>
      </c>
      <c r="H233" t="str">
        <f t="shared" si="6"/>
        <v>vacation n2_q90_u98_r1048576_t4194304_c</v>
      </c>
      <c r="I233" t="str">
        <f t="shared" si="7"/>
        <v>TLE</v>
      </c>
    </row>
    <row r="234" spans="1:9" x14ac:dyDescent="0.45">
      <c r="A234" t="s">
        <v>46</v>
      </c>
      <c r="B234" t="s">
        <v>9</v>
      </c>
      <c r="C234">
        <v>1</v>
      </c>
      <c r="D234">
        <v>1</v>
      </c>
      <c r="F234" t="s">
        <v>253</v>
      </c>
      <c r="G234" t="str">
        <f>MID(F234,LastpositionOfChar(F234,"-")+1,LEN(F234)-LastpositionOfChar(F234,"-")-LEN(".out"))</f>
        <v>n4_q60_u90_r1048576_t4194304_c</v>
      </c>
      <c r="H234" t="str">
        <f t="shared" si="6"/>
        <v>vacation n4_q60_u90_r1048576_t4194304_c</v>
      </c>
      <c r="I234" t="str">
        <f t="shared" si="7"/>
        <v>TLE</v>
      </c>
    </row>
    <row r="235" spans="1:9" x14ac:dyDescent="0.45">
      <c r="A235" t="s">
        <v>46</v>
      </c>
      <c r="B235" t="s">
        <v>9</v>
      </c>
      <c r="C235">
        <v>2</v>
      </c>
      <c r="D235">
        <v>1</v>
      </c>
      <c r="F235" t="s">
        <v>254</v>
      </c>
      <c r="G235" t="str">
        <f>MID(F235,LastpositionOfChar(F235,"-")+1,LEN(F235)-LastpositionOfChar(F235,"-")-LEN(".out"))</f>
        <v>n4_q60_u90_r1048576_t4194304_c</v>
      </c>
      <c r="H235" t="str">
        <f t="shared" si="6"/>
        <v>vacation n4_q60_u90_r1048576_t4194304_c</v>
      </c>
      <c r="I235" t="str">
        <f t="shared" si="7"/>
        <v>TLE</v>
      </c>
    </row>
    <row r="236" spans="1:9" x14ac:dyDescent="0.45">
      <c r="A236" t="s">
        <v>46</v>
      </c>
      <c r="B236" t="s">
        <v>9</v>
      </c>
      <c r="C236">
        <v>4</v>
      </c>
      <c r="D236">
        <v>1</v>
      </c>
      <c r="F236" t="s">
        <v>255</v>
      </c>
      <c r="G236" t="str">
        <f>MID(F236,LastpositionOfChar(F236,"-")+1,LEN(F236)-LastpositionOfChar(F236,"-")-LEN(".out"))</f>
        <v>n4_q60_u90_r1048576_t4194304_c</v>
      </c>
      <c r="H236" t="str">
        <f t="shared" si="6"/>
        <v>vacation n4_q60_u90_r1048576_t4194304_c</v>
      </c>
      <c r="I236" t="str">
        <f t="shared" si="7"/>
        <v>TLE</v>
      </c>
    </row>
    <row r="237" spans="1:9" x14ac:dyDescent="0.45">
      <c r="A237" t="s">
        <v>46</v>
      </c>
      <c r="B237" t="s">
        <v>9</v>
      </c>
      <c r="C237">
        <v>8</v>
      </c>
      <c r="D237">
        <v>1</v>
      </c>
      <c r="F237" t="s">
        <v>256</v>
      </c>
      <c r="G237" t="str">
        <f>MID(F237,LastpositionOfChar(F237,"-")+1,LEN(F237)-LastpositionOfChar(F237,"-")-LEN(".out"))</f>
        <v>n4_q60_u90_r1048576_t4194304_c</v>
      </c>
      <c r="H237" t="str">
        <f t="shared" si="6"/>
        <v>vacation n4_q60_u90_r1048576_t4194304_c</v>
      </c>
      <c r="I237" t="str">
        <f t="shared" si="7"/>
        <v>TLE</v>
      </c>
    </row>
    <row r="238" spans="1:9" x14ac:dyDescent="0.45">
      <c r="A238" t="s">
        <v>55</v>
      </c>
      <c r="B238" t="s">
        <v>9</v>
      </c>
      <c r="C238">
        <v>1</v>
      </c>
      <c r="D238">
        <v>1</v>
      </c>
      <c r="F238" t="s">
        <v>257</v>
      </c>
      <c r="G238" t="str">
        <f>MID(F238,LastpositionOfChar(F238,"-")+1,LEN(F238)-LastpositionOfChar(F238,"-")-LEN(".out"))</f>
        <v>a15_i_</v>
      </c>
      <c r="H238" t="str">
        <f t="shared" si="6"/>
        <v>yada a15_i_</v>
      </c>
      <c r="I238" t="str">
        <f t="shared" si="7"/>
        <v>TLE</v>
      </c>
    </row>
    <row r="239" spans="1:9" x14ac:dyDescent="0.45">
      <c r="A239" t="s">
        <v>55</v>
      </c>
      <c r="B239" t="s">
        <v>9</v>
      </c>
      <c r="C239">
        <v>2</v>
      </c>
      <c r="D239">
        <v>1</v>
      </c>
      <c r="F239" t="s">
        <v>258</v>
      </c>
      <c r="G239" t="str">
        <f>MID(F239,LastpositionOfChar(F239,"-")+1,LEN(F239)-LastpositionOfChar(F239,"-")-LEN(".out"))</f>
        <v>a15_i_</v>
      </c>
      <c r="H239" t="str">
        <f t="shared" si="6"/>
        <v>yada a15_i_</v>
      </c>
      <c r="I239" t="str">
        <f t="shared" si="7"/>
        <v>TLE</v>
      </c>
    </row>
    <row r="240" spans="1:9" x14ac:dyDescent="0.45">
      <c r="A240" t="s">
        <v>55</v>
      </c>
      <c r="B240" t="s">
        <v>9</v>
      </c>
      <c r="C240">
        <v>4</v>
      </c>
      <c r="D240">
        <v>1</v>
      </c>
      <c r="F240" t="s">
        <v>259</v>
      </c>
      <c r="G240" t="str">
        <f>MID(F240,LastpositionOfChar(F240,"-")+1,LEN(F240)-LastpositionOfChar(F240,"-")-LEN(".out"))</f>
        <v>a15_i_</v>
      </c>
      <c r="H240" t="str">
        <f t="shared" si="6"/>
        <v>yada a15_i_</v>
      </c>
      <c r="I240" t="str">
        <f t="shared" si="7"/>
        <v>TLE</v>
      </c>
    </row>
    <row r="241" spans="1:9" x14ac:dyDescent="0.45">
      <c r="A241" t="s">
        <v>55</v>
      </c>
      <c r="B241" t="s">
        <v>9</v>
      </c>
      <c r="C241">
        <v>8</v>
      </c>
      <c r="D241">
        <v>1</v>
      </c>
      <c r="F241" t="s">
        <v>260</v>
      </c>
      <c r="G241" t="str">
        <f>MID(F241,LastpositionOfChar(F241,"-")+1,LEN(F241)-LastpositionOfChar(F241,"-")-LEN(".out"))</f>
        <v>a15_i_</v>
      </c>
      <c r="H241" t="str">
        <f t="shared" si="6"/>
        <v>yada a15_i_</v>
      </c>
      <c r="I241" t="str">
        <f t="shared" si="7"/>
        <v>TLE</v>
      </c>
    </row>
    <row r="242" spans="1:9" x14ac:dyDescent="0.45">
      <c r="A242" t="s">
        <v>12</v>
      </c>
      <c r="B242" t="s">
        <v>1</v>
      </c>
      <c r="C242">
        <v>1</v>
      </c>
      <c r="D242">
        <v>1</v>
      </c>
      <c r="E242">
        <v>31.028600000000001</v>
      </c>
      <c r="F242" t="s">
        <v>261</v>
      </c>
      <c r="G242" t="str">
        <f>MID(F242,LastpositionOfChar(F242,"-")+1,LEN(F242)-LastpositionOfChar(F242,"-")-LEN(".out"))</f>
        <v>v32_r4096_n10_p40_i2_e8_s1_t</v>
      </c>
      <c r="H242" t="str">
        <f t="shared" si="6"/>
        <v>bayes v32_r4096_n10_p40_i2_e8_s1_t</v>
      </c>
      <c r="I242" t="str">
        <f t="shared" si="7"/>
        <v>Alg1</v>
      </c>
    </row>
    <row r="243" spans="1:9" x14ac:dyDescent="0.45">
      <c r="A243" t="s">
        <v>12</v>
      </c>
      <c r="B243" t="s">
        <v>1</v>
      </c>
      <c r="C243">
        <v>2</v>
      </c>
      <c r="D243">
        <v>1</v>
      </c>
      <c r="E243">
        <v>60.069699999999997</v>
      </c>
      <c r="F243" t="s">
        <v>262</v>
      </c>
      <c r="G243" t="str">
        <f>MID(F243,LastpositionOfChar(F243,"-")+1,LEN(F243)-LastpositionOfChar(F243,"-")-LEN(".out"))</f>
        <v>v32_r4096_n10_p40_i2_e8_s1_t</v>
      </c>
      <c r="H243" t="str">
        <f t="shared" si="6"/>
        <v>bayes v32_r4096_n10_p40_i2_e8_s1_t</v>
      </c>
      <c r="I243" t="str">
        <f t="shared" si="7"/>
        <v>Alg1</v>
      </c>
    </row>
    <row r="244" spans="1:9" x14ac:dyDescent="0.45">
      <c r="A244" t="s">
        <v>12</v>
      </c>
      <c r="B244" t="s">
        <v>1</v>
      </c>
      <c r="C244">
        <v>4</v>
      </c>
      <c r="D244">
        <v>1</v>
      </c>
      <c r="E244">
        <v>44.983600000000003</v>
      </c>
      <c r="F244" t="s">
        <v>263</v>
      </c>
      <c r="G244" t="str">
        <f>MID(F244,LastpositionOfChar(F244,"-")+1,LEN(F244)-LastpositionOfChar(F244,"-")-LEN(".out"))</f>
        <v>v32_r4096_n10_p40_i2_e8_s1_t</v>
      </c>
      <c r="H244" t="str">
        <f t="shared" si="6"/>
        <v>bayes v32_r4096_n10_p40_i2_e8_s1_t</v>
      </c>
      <c r="I244" t="str">
        <f t="shared" si="7"/>
        <v>Alg1</v>
      </c>
    </row>
    <row r="245" spans="1:9" x14ac:dyDescent="0.45">
      <c r="A245" t="s">
        <v>12</v>
      </c>
      <c r="B245" t="s">
        <v>1</v>
      </c>
      <c r="C245">
        <v>8</v>
      </c>
      <c r="D245">
        <v>1</v>
      </c>
      <c r="E245">
        <v>93.203800000000001</v>
      </c>
      <c r="F245" t="s">
        <v>264</v>
      </c>
      <c r="G245" t="str">
        <f>MID(F245,LastpositionOfChar(F245,"-")+1,LEN(F245)-LastpositionOfChar(F245,"-")-LEN(".out"))</f>
        <v>v32_r4096_n10_p40_i2_e8_s1_t</v>
      </c>
      <c r="H245" t="str">
        <f t="shared" si="6"/>
        <v>bayes v32_r4096_n10_p40_i2_e8_s1_t</v>
      </c>
      <c r="I245" t="str">
        <f t="shared" si="7"/>
        <v>Alg1</v>
      </c>
    </row>
    <row r="246" spans="1:9" x14ac:dyDescent="0.45">
      <c r="A246" t="s">
        <v>17</v>
      </c>
      <c r="B246" t="s">
        <v>1</v>
      </c>
      <c r="C246">
        <v>1</v>
      </c>
      <c r="D246">
        <v>1</v>
      </c>
      <c r="E246">
        <v>256.05037399999998</v>
      </c>
      <c r="F246" t="s">
        <v>265</v>
      </c>
      <c r="G246" t="str">
        <f>MID(F246,LastpositionOfChar(F246,"-")+1,LEN(F246)-LastpositionOfChar(F246,"-")-LEN(".out"))</f>
        <v>g16384_s64_n16777216_t</v>
      </c>
      <c r="H246" t="str">
        <f t="shared" si="6"/>
        <v>genome g16384_s64_n16777216_t</v>
      </c>
      <c r="I246" t="str">
        <f t="shared" si="7"/>
        <v>Alg1</v>
      </c>
    </row>
    <row r="247" spans="1:9" x14ac:dyDescent="0.45">
      <c r="A247" t="s">
        <v>17</v>
      </c>
      <c r="B247" t="s">
        <v>1</v>
      </c>
      <c r="C247">
        <v>2</v>
      </c>
      <c r="D247">
        <v>1</v>
      </c>
      <c r="E247">
        <v>218.687511</v>
      </c>
      <c r="F247" t="s">
        <v>266</v>
      </c>
      <c r="G247" t="str">
        <f>MID(F247,LastpositionOfChar(F247,"-")+1,LEN(F247)-LastpositionOfChar(F247,"-")-LEN(".out"))</f>
        <v>g16384_s64_n16777216_t</v>
      </c>
      <c r="H247" t="str">
        <f t="shared" si="6"/>
        <v>genome g16384_s64_n16777216_t</v>
      </c>
      <c r="I247" t="str">
        <f t="shared" si="7"/>
        <v>Alg1</v>
      </c>
    </row>
    <row r="248" spans="1:9" x14ac:dyDescent="0.45">
      <c r="A248" t="s">
        <v>17</v>
      </c>
      <c r="B248" t="s">
        <v>1</v>
      </c>
      <c r="C248">
        <v>4</v>
      </c>
      <c r="D248">
        <v>1</v>
      </c>
      <c r="E248">
        <v>105.69858600000001</v>
      </c>
      <c r="F248" t="s">
        <v>267</v>
      </c>
      <c r="G248" t="str">
        <f>MID(F248,LastpositionOfChar(F248,"-")+1,LEN(F248)-LastpositionOfChar(F248,"-")-LEN(".out"))</f>
        <v>g16384_s64_n16777216_t</v>
      </c>
      <c r="H248" t="str">
        <f t="shared" si="6"/>
        <v>genome g16384_s64_n16777216_t</v>
      </c>
      <c r="I248" t="str">
        <f t="shared" si="7"/>
        <v>Alg1</v>
      </c>
    </row>
    <row r="249" spans="1:9" x14ac:dyDescent="0.45">
      <c r="A249" t="s">
        <v>17</v>
      </c>
      <c r="B249" t="s">
        <v>1</v>
      </c>
      <c r="C249">
        <v>8</v>
      </c>
      <c r="D249">
        <v>1</v>
      </c>
      <c r="E249">
        <v>70.262062</v>
      </c>
      <c r="F249" t="s">
        <v>268</v>
      </c>
      <c r="G249" t="str">
        <f>MID(F249,LastpositionOfChar(F249,"-")+1,LEN(F249)-LastpositionOfChar(F249,"-")-LEN(".out"))</f>
        <v>g16384_s64_n16777216_t</v>
      </c>
      <c r="H249" t="str">
        <f t="shared" si="6"/>
        <v>genome g16384_s64_n16777216_t</v>
      </c>
      <c r="I249" t="str">
        <f t="shared" si="7"/>
        <v>Alg1</v>
      </c>
    </row>
    <row r="250" spans="1:9" x14ac:dyDescent="0.45">
      <c r="A250" t="s">
        <v>22</v>
      </c>
      <c r="B250" t="s">
        <v>1</v>
      </c>
      <c r="C250">
        <v>1</v>
      </c>
      <c r="D250">
        <v>1</v>
      </c>
      <c r="F250" t="s">
        <v>269</v>
      </c>
      <c r="G250" t="str">
        <f>MID(F250,LastpositionOfChar(F250,"-")+1,LEN(F250)-LastpositionOfChar(F250,"-")-LEN(".out"))</f>
        <v>a10_l128_n262144_s1_t</v>
      </c>
      <c r="H250" t="str">
        <f t="shared" si="6"/>
        <v>intruder a10_l128_n262144_s1_t</v>
      </c>
      <c r="I250" t="str">
        <f t="shared" si="7"/>
        <v>Alg1</v>
      </c>
    </row>
    <row r="251" spans="1:9" x14ac:dyDescent="0.45">
      <c r="A251" t="s">
        <v>22</v>
      </c>
      <c r="B251" t="s">
        <v>1</v>
      </c>
      <c r="C251">
        <v>2</v>
      </c>
      <c r="D251">
        <v>1</v>
      </c>
      <c r="F251" t="s">
        <v>270</v>
      </c>
      <c r="G251" t="str">
        <f>MID(F251,LastpositionOfChar(F251,"-")+1,LEN(F251)-LastpositionOfChar(F251,"-")-LEN(".out"))</f>
        <v>a10_l128_n262144_s1_t</v>
      </c>
      <c r="H251" t="str">
        <f t="shared" si="6"/>
        <v>intruder a10_l128_n262144_s1_t</v>
      </c>
      <c r="I251" t="str">
        <f t="shared" si="7"/>
        <v>Alg1</v>
      </c>
    </row>
    <row r="252" spans="1:9" x14ac:dyDescent="0.45">
      <c r="A252" t="s">
        <v>22</v>
      </c>
      <c r="B252" t="s">
        <v>1</v>
      </c>
      <c r="C252">
        <v>4</v>
      </c>
      <c r="D252">
        <v>1</v>
      </c>
      <c r="F252" t="s">
        <v>271</v>
      </c>
      <c r="G252" t="str">
        <f>MID(F252,LastpositionOfChar(F252,"-")+1,LEN(F252)-LastpositionOfChar(F252,"-")-LEN(".out"))</f>
        <v>a10_l128_n262144_s1_t</v>
      </c>
      <c r="H252" t="str">
        <f t="shared" si="6"/>
        <v>intruder a10_l128_n262144_s1_t</v>
      </c>
      <c r="I252" t="str">
        <f t="shared" si="7"/>
        <v>Alg1</v>
      </c>
    </row>
    <row r="253" spans="1:9" x14ac:dyDescent="0.45">
      <c r="A253" t="s">
        <v>22</v>
      </c>
      <c r="B253" t="s">
        <v>1</v>
      </c>
      <c r="C253">
        <v>8</v>
      </c>
      <c r="D253">
        <v>1</v>
      </c>
      <c r="F253" t="s">
        <v>272</v>
      </c>
      <c r="G253" t="str">
        <f>MID(F253,LastpositionOfChar(F253,"-")+1,LEN(F253)-LastpositionOfChar(F253,"-")-LEN(".out"))</f>
        <v>a10_l128_n262144_s1_t</v>
      </c>
      <c r="H253" t="str">
        <f t="shared" si="6"/>
        <v>intruder a10_l128_n262144_s1_t</v>
      </c>
      <c r="I253" t="str">
        <f t="shared" si="7"/>
        <v>Alg1</v>
      </c>
    </row>
    <row r="254" spans="1:9" x14ac:dyDescent="0.45">
      <c r="A254" t="s">
        <v>27</v>
      </c>
      <c r="B254" t="s">
        <v>1</v>
      </c>
      <c r="C254">
        <v>1</v>
      </c>
      <c r="D254">
        <v>1</v>
      </c>
      <c r="E254">
        <v>8.10928</v>
      </c>
      <c r="F254" t="s">
        <v>273</v>
      </c>
      <c r="G254" t="str">
        <f>MID(F254,LastpositionOfChar(F254,"-")+1,LEN(F254)-LastpositionOfChar(F254,"-")-LEN(".out"))</f>
        <v>m40_n40_t0</v>
      </c>
      <c r="H254" t="str">
        <f t="shared" si="6"/>
        <v>kmeans m40_n40_t0</v>
      </c>
      <c r="I254" t="str">
        <f t="shared" si="7"/>
        <v>Alg1</v>
      </c>
    </row>
    <row r="255" spans="1:9" x14ac:dyDescent="0.45">
      <c r="A255" t="s">
        <v>27</v>
      </c>
      <c r="B255" t="s">
        <v>1</v>
      </c>
      <c r="C255">
        <v>2</v>
      </c>
      <c r="D255">
        <v>1</v>
      </c>
      <c r="E255">
        <v>4.6558099999999998</v>
      </c>
      <c r="F255" t="s">
        <v>274</v>
      </c>
      <c r="G255" t="str">
        <f>MID(F255,LastpositionOfChar(F255,"-")+1,LEN(F255)-LastpositionOfChar(F255,"-")-LEN(".out"))</f>
        <v>m40_n40_t0</v>
      </c>
      <c r="H255" t="str">
        <f t="shared" si="6"/>
        <v>kmeans m40_n40_t0</v>
      </c>
      <c r="I255" t="str">
        <f t="shared" si="7"/>
        <v>Alg1</v>
      </c>
    </row>
    <row r="256" spans="1:9" x14ac:dyDescent="0.45">
      <c r="A256" t="s">
        <v>27</v>
      </c>
      <c r="B256" t="s">
        <v>1</v>
      </c>
      <c r="C256">
        <v>4</v>
      </c>
      <c r="D256">
        <v>1</v>
      </c>
      <c r="E256">
        <v>3.48813</v>
      </c>
      <c r="F256" t="s">
        <v>275</v>
      </c>
      <c r="G256" t="str">
        <f>MID(F256,LastpositionOfChar(F256,"-")+1,LEN(F256)-LastpositionOfChar(F256,"-")-LEN(".out"))</f>
        <v>m40_n40_t0</v>
      </c>
      <c r="H256" t="str">
        <f t="shared" si="6"/>
        <v>kmeans m40_n40_t0</v>
      </c>
      <c r="I256" t="str">
        <f t="shared" si="7"/>
        <v>Alg1</v>
      </c>
    </row>
    <row r="257" spans="1:9" x14ac:dyDescent="0.45">
      <c r="A257" t="s">
        <v>27</v>
      </c>
      <c r="B257" t="s">
        <v>1</v>
      </c>
      <c r="C257">
        <v>8</v>
      </c>
      <c r="D257">
        <v>1</v>
      </c>
      <c r="E257">
        <v>3.6647699999999999</v>
      </c>
      <c r="F257" t="s">
        <v>276</v>
      </c>
      <c r="G257" t="str">
        <f>MID(F257,LastpositionOfChar(F257,"-")+1,LEN(F257)-LastpositionOfChar(F257,"-")-LEN(".out"))</f>
        <v>m40_n40_t0</v>
      </c>
      <c r="H257" t="str">
        <f t="shared" si="6"/>
        <v>kmeans m40_n40_t0</v>
      </c>
      <c r="I257" t="str">
        <f t="shared" si="7"/>
        <v>Alg1</v>
      </c>
    </row>
    <row r="258" spans="1:9" x14ac:dyDescent="0.45">
      <c r="A258" t="s">
        <v>27</v>
      </c>
      <c r="B258" t="s">
        <v>1</v>
      </c>
      <c r="C258">
        <v>1</v>
      </c>
      <c r="D258">
        <v>1</v>
      </c>
      <c r="E258">
        <v>1.7835799999999999</v>
      </c>
      <c r="F258" t="s">
        <v>277</v>
      </c>
      <c r="G258" t="str">
        <f>MID(F258,LastpositionOfChar(F258,"-")+1,LEN(F258)-LastpositionOfChar(F258,"-")-LEN(".out"))</f>
        <v>m15_n15_t0</v>
      </c>
      <c r="H258" t="str">
        <f t="shared" si="6"/>
        <v>kmeans m15_n15_t0</v>
      </c>
      <c r="I258" t="str">
        <f t="shared" si="7"/>
        <v>Alg1</v>
      </c>
    </row>
    <row r="259" spans="1:9" x14ac:dyDescent="0.45">
      <c r="A259" t="s">
        <v>27</v>
      </c>
      <c r="B259" t="s">
        <v>1</v>
      </c>
      <c r="C259">
        <v>2</v>
      </c>
      <c r="D259">
        <v>1</v>
      </c>
      <c r="E259">
        <v>1.7847500000000001</v>
      </c>
      <c r="F259" t="s">
        <v>278</v>
      </c>
      <c r="G259" t="str">
        <f>MID(F259,LastpositionOfChar(F259,"-")+1,LEN(F259)-LastpositionOfChar(F259,"-")-LEN(".out"))</f>
        <v>m15_n15_t0</v>
      </c>
      <c r="H259" t="str">
        <f t="shared" ref="H259:H321" si="8">A259&amp;" "&amp;G259</f>
        <v>kmeans m15_n15_t0</v>
      </c>
      <c r="I259" t="str">
        <f t="shared" ref="I259:I321" si="9">VLOOKUP(B259,T$2:U$5,2,FALSE)</f>
        <v>Alg1</v>
      </c>
    </row>
    <row r="260" spans="1:9" x14ac:dyDescent="0.45">
      <c r="A260" t="s">
        <v>27</v>
      </c>
      <c r="B260" t="s">
        <v>1</v>
      </c>
      <c r="C260">
        <v>4</v>
      </c>
      <c r="D260">
        <v>1</v>
      </c>
      <c r="E260">
        <v>2.7485400000000002</v>
      </c>
      <c r="F260" t="s">
        <v>279</v>
      </c>
      <c r="G260" t="str">
        <f>MID(F260,LastpositionOfChar(F260,"-")+1,LEN(F260)-LastpositionOfChar(F260,"-")-LEN(".out"))</f>
        <v>m15_n15_t0</v>
      </c>
      <c r="H260" t="str">
        <f t="shared" si="8"/>
        <v>kmeans m15_n15_t0</v>
      </c>
      <c r="I260" t="str">
        <f t="shared" si="9"/>
        <v>Alg1</v>
      </c>
    </row>
    <row r="261" spans="1:9" x14ac:dyDescent="0.45">
      <c r="A261" t="s">
        <v>27</v>
      </c>
      <c r="B261" t="s">
        <v>1</v>
      </c>
      <c r="C261">
        <v>8</v>
      </c>
      <c r="D261">
        <v>1</v>
      </c>
      <c r="E261">
        <v>2.7796400000000001</v>
      </c>
      <c r="F261" t="s">
        <v>280</v>
      </c>
      <c r="G261" t="str">
        <f>MID(F261,LastpositionOfChar(F261,"-")+1,LEN(F261)-LastpositionOfChar(F261,"-")-LEN(".out"))</f>
        <v>m15_n15_t0</v>
      </c>
      <c r="H261" t="str">
        <f t="shared" si="8"/>
        <v>kmeans m15_n15_t0</v>
      </c>
      <c r="I261" t="str">
        <f t="shared" si="9"/>
        <v>Alg1</v>
      </c>
    </row>
    <row r="262" spans="1:9" x14ac:dyDescent="0.45">
      <c r="A262" t="s">
        <v>36</v>
      </c>
      <c r="B262" t="s">
        <v>1</v>
      </c>
      <c r="C262">
        <v>1</v>
      </c>
      <c r="D262">
        <v>1</v>
      </c>
      <c r="E262">
        <v>64.273257999999998</v>
      </c>
      <c r="F262" t="s">
        <v>281</v>
      </c>
      <c r="G262" t="str">
        <f>MID(F262,LastpositionOfChar(F262,"-")+1,LEN(F262)-LastpositionOfChar(F262,"-")-LEN(".out"))</f>
        <v>i_</v>
      </c>
      <c r="H262" t="str">
        <f t="shared" si="8"/>
        <v>labyrinth i_</v>
      </c>
      <c r="I262" t="str">
        <f t="shared" si="9"/>
        <v>Alg1</v>
      </c>
    </row>
    <row r="263" spans="1:9" x14ac:dyDescent="0.45">
      <c r="A263" t="s">
        <v>36</v>
      </c>
      <c r="B263" t="s">
        <v>1</v>
      </c>
      <c r="C263">
        <v>2</v>
      </c>
      <c r="D263">
        <v>1</v>
      </c>
      <c r="E263">
        <v>197.31828899999999</v>
      </c>
      <c r="F263" t="s">
        <v>282</v>
      </c>
      <c r="G263" t="str">
        <f>MID(F263,LastpositionOfChar(F263,"-")+1,LEN(F263)-LastpositionOfChar(F263,"-")-LEN(".out"))</f>
        <v>i_</v>
      </c>
      <c r="H263" t="str">
        <f t="shared" si="8"/>
        <v>labyrinth i_</v>
      </c>
      <c r="I263" t="str">
        <f t="shared" si="9"/>
        <v>Alg1</v>
      </c>
    </row>
    <row r="264" spans="1:9" x14ac:dyDescent="0.45">
      <c r="A264" t="s">
        <v>36</v>
      </c>
      <c r="B264" t="s">
        <v>1</v>
      </c>
      <c r="C264">
        <v>4</v>
      </c>
      <c r="D264">
        <v>1</v>
      </c>
      <c r="E264">
        <v>210.416102</v>
      </c>
      <c r="F264" t="s">
        <v>283</v>
      </c>
      <c r="G264" t="str">
        <f>MID(F264,LastpositionOfChar(F264,"-")+1,LEN(F264)-LastpositionOfChar(F264,"-")-LEN(".out"))</f>
        <v>i_</v>
      </c>
      <c r="H264" t="str">
        <f t="shared" si="8"/>
        <v>labyrinth i_</v>
      </c>
      <c r="I264" t="str">
        <f t="shared" si="9"/>
        <v>Alg1</v>
      </c>
    </row>
    <row r="265" spans="1:9" x14ac:dyDescent="0.45">
      <c r="A265" t="s">
        <v>36</v>
      </c>
      <c r="B265" t="s">
        <v>1</v>
      </c>
      <c r="C265">
        <v>8</v>
      </c>
      <c r="D265">
        <v>1</v>
      </c>
      <c r="E265">
        <v>207.42859799999999</v>
      </c>
      <c r="F265" t="s">
        <v>284</v>
      </c>
      <c r="G265" t="str">
        <f>MID(F265,LastpositionOfChar(F265,"-")+1,LEN(F265)-LastpositionOfChar(F265,"-")-LEN(".out"))</f>
        <v>i_</v>
      </c>
      <c r="H265" t="str">
        <f t="shared" si="8"/>
        <v>labyrinth i_</v>
      </c>
      <c r="I265" t="str">
        <f t="shared" si="9"/>
        <v>Alg1</v>
      </c>
    </row>
    <row r="266" spans="1:9" x14ac:dyDescent="0.45">
      <c r="A266" t="s">
        <v>41</v>
      </c>
      <c r="B266" t="s">
        <v>1</v>
      </c>
      <c r="C266">
        <v>1</v>
      </c>
      <c r="D266">
        <v>1</v>
      </c>
      <c r="E266">
        <v>12.260771999999999</v>
      </c>
      <c r="F266" t="s">
        <v>285</v>
      </c>
      <c r="G266" t="str">
        <f>MID(F266,LastpositionOfChar(F266,"-")+1,LEN(F266)-LastpositionOfChar(F266,"-")-LEN(".out"))</f>
        <v>s20_i1</v>
      </c>
      <c r="H266" t="str">
        <f t="shared" si="8"/>
        <v>ssca2 s20_i1</v>
      </c>
      <c r="I266" t="str">
        <f t="shared" si="9"/>
        <v>Alg1</v>
      </c>
    </row>
    <row r="267" spans="1:9" x14ac:dyDescent="0.45">
      <c r="A267" t="s">
        <v>41</v>
      </c>
      <c r="B267" t="s">
        <v>1</v>
      </c>
      <c r="C267">
        <v>2</v>
      </c>
      <c r="D267">
        <v>1</v>
      </c>
      <c r="E267">
        <v>14.408173</v>
      </c>
      <c r="F267" t="s">
        <v>286</v>
      </c>
      <c r="G267" t="str">
        <f>MID(F267,LastpositionOfChar(F267,"-")+1,LEN(F267)-LastpositionOfChar(F267,"-")-LEN(".out"))</f>
        <v>s20_i1</v>
      </c>
      <c r="H267" t="str">
        <f t="shared" si="8"/>
        <v>ssca2 s20_i1</v>
      </c>
      <c r="I267" t="str">
        <f t="shared" si="9"/>
        <v>Alg1</v>
      </c>
    </row>
    <row r="268" spans="1:9" x14ac:dyDescent="0.45">
      <c r="A268" t="s">
        <v>41</v>
      </c>
      <c r="B268" t="s">
        <v>1</v>
      </c>
      <c r="C268">
        <v>4</v>
      </c>
      <c r="D268">
        <v>1</v>
      </c>
      <c r="E268">
        <v>13.624743</v>
      </c>
      <c r="F268" t="s">
        <v>287</v>
      </c>
      <c r="G268" t="str">
        <f>MID(F268,LastpositionOfChar(F268,"-")+1,LEN(F268)-LastpositionOfChar(F268,"-")-LEN(".out"))</f>
        <v>s20_i1</v>
      </c>
      <c r="H268" t="str">
        <f t="shared" si="8"/>
        <v>ssca2 s20_i1</v>
      </c>
      <c r="I268" t="str">
        <f t="shared" si="9"/>
        <v>Alg1</v>
      </c>
    </row>
    <row r="269" spans="1:9" x14ac:dyDescent="0.45">
      <c r="A269" t="s">
        <v>41</v>
      </c>
      <c r="B269" t="s">
        <v>1</v>
      </c>
      <c r="C269">
        <v>8</v>
      </c>
      <c r="D269">
        <v>1</v>
      </c>
      <c r="E269">
        <v>13.22678</v>
      </c>
      <c r="F269" t="s">
        <v>288</v>
      </c>
      <c r="G269" t="str">
        <f>MID(F269,LastpositionOfChar(F269,"-")+1,LEN(F269)-LastpositionOfChar(F269,"-")-LEN(".out"))</f>
        <v>s20_i1</v>
      </c>
      <c r="H269" t="str">
        <f t="shared" si="8"/>
        <v>ssca2 s20_i1</v>
      </c>
      <c r="I269" t="str">
        <f t="shared" si="9"/>
        <v>Alg1</v>
      </c>
    </row>
    <row r="270" spans="1:9" x14ac:dyDescent="0.45">
      <c r="A270" t="s">
        <v>46</v>
      </c>
      <c r="B270" t="s">
        <v>1</v>
      </c>
      <c r="C270">
        <v>1</v>
      </c>
      <c r="D270">
        <v>1</v>
      </c>
      <c r="F270" t="s">
        <v>289</v>
      </c>
      <c r="G270" t="str">
        <f>MID(F270,LastpositionOfChar(F270,"-")+1,LEN(F270)-LastpositionOfChar(F270,"-")-LEN(".out"))</f>
        <v>n2_q90_u98_r1048576_t4194304_c</v>
      </c>
      <c r="H270" t="str">
        <f t="shared" si="8"/>
        <v>vacation n2_q90_u98_r1048576_t4194304_c</v>
      </c>
      <c r="I270" t="str">
        <f t="shared" si="9"/>
        <v>Alg1</v>
      </c>
    </row>
    <row r="271" spans="1:9" x14ac:dyDescent="0.45">
      <c r="A271" t="s">
        <v>46</v>
      </c>
      <c r="B271" t="s">
        <v>1</v>
      </c>
      <c r="C271">
        <v>2</v>
      </c>
      <c r="D271">
        <v>1</v>
      </c>
      <c r="F271" t="s">
        <v>290</v>
      </c>
      <c r="G271" t="str">
        <f>MID(F271,LastpositionOfChar(F271,"-")+1,LEN(F271)-LastpositionOfChar(F271,"-")-LEN(".out"))</f>
        <v>n2_q90_u98_r1048576_t4194304_c</v>
      </c>
      <c r="H271" t="str">
        <f t="shared" si="8"/>
        <v>vacation n2_q90_u98_r1048576_t4194304_c</v>
      </c>
      <c r="I271" t="str">
        <f t="shared" si="9"/>
        <v>Alg1</v>
      </c>
    </row>
    <row r="272" spans="1:9" x14ac:dyDescent="0.45">
      <c r="A272" t="s">
        <v>46</v>
      </c>
      <c r="B272" t="s">
        <v>1</v>
      </c>
      <c r="C272">
        <v>4</v>
      </c>
      <c r="D272">
        <v>1</v>
      </c>
      <c r="F272" t="s">
        <v>291</v>
      </c>
      <c r="G272" t="str">
        <f>MID(F272,LastpositionOfChar(F272,"-")+1,LEN(F272)-LastpositionOfChar(F272,"-")-LEN(".out"))</f>
        <v>n2_q90_u98_r1048576_t4194304_c</v>
      </c>
      <c r="H272" t="str">
        <f t="shared" si="8"/>
        <v>vacation n2_q90_u98_r1048576_t4194304_c</v>
      </c>
      <c r="I272" t="str">
        <f t="shared" si="9"/>
        <v>Alg1</v>
      </c>
    </row>
    <row r="273" spans="1:9" x14ac:dyDescent="0.45">
      <c r="A273" t="s">
        <v>46</v>
      </c>
      <c r="B273" t="s">
        <v>1</v>
      </c>
      <c r="C273">
        <v>8</v>
      </c>
      <c r="D273">
        <v>1</v>
      </c>
      <c r="F273" t="s">
        <v>292</v>
      </c>
      <c r="G273" t="str">
        <f>MID(F273,LastpositionOfChar(F273,"-")+1,LEN(F273)-LastpositionOfChar(F273,"-")-LEN(".out"))</f>
        <v>n2_q90_u98_r1048576_t4194304_c</v>
      </c>
      <c r="H273" t="str">
        <f t="shared" si="8"/>
        <v>vacation n2_q90_u98_r1048576_t4194304_c</v>
      </c>
      <c r="I273" t="str">
        <f t="shared" si="9"/>
        <v>Alg1</v>
      </c>
    </row>
    <row r="274" spans="1:9" x14ac:dyDescent="0.45">
      <c r="A274" t="s">
        <v>46</v>
      </c>
      <c r="B274" t="s">
        <v>1</v>
      </c>
      <c r="C274">
        <v>1</v>
      </c>
      <c r="D274">
        <v>1</v>
      </c>
      <c r="F274" t="s">
        <v>293</v>
      </c>
      <c r="G274" t="str">
        <f>MID(F274,LastpositionOfChar(F274,"-")+1,LEN(F274)-LastpositionOfChar(F274,"-")-LEN(".out"))</f>
        <v>n4_q60_u90_r1048576_t4194304_c</v>
      </c>
      <c r="H274" t="str">
        <f t="shared" si="8"/>
        <v>vacation n4_q60_u90_r1048576_t4194304_c</v>
      </c>
      <c r="I274" t="str">
        <f t="shared" si="9"/>
        <v>Alg1</v>
      </c>
    </row>
    <row r="275" spans="1:9" x14ac:dyDescent="0.45">
      <c r="A275" t="s">
        <v>46</v>
      </c>
      <c r="B275" t="s">
        <v>1</v>
      </c>
      <c r="C275">
        <v>2</v>
      </c>
      <c r="D275">
        <v>1</v>
      </c>
      <c r="F275" t="s">
        <v>294</v>
      </c>
      <c r="G275" t="str">
        <f>MID(F275,LastpositionOfChar(F275,"-")+1,LEN(F275)-LastpositionOfChar(F275,"-")-LEN(".out"))</f>
        <v>n4_q60_u90_r1048576_t4194304_c</v>
      </c>
      <c r="H275" t="str">
        <f t="shared" si="8"/>
        <v>vacation n4_q60_u90_r1048576_t4194304_c</v>
      </c>
      <c r="I275" t="str">
        <f t="shared" si="9"/>
        <v>Alg1</v>
      </c>
    </row>
    <row r="276" spans="1:9" x14ac:dyDescent="0.45">
      <c r="A276" t="s">
        <v>46</v>
      </c>
      <c r="B276" t="s">
        <v>1</v>
      </c>
      <c r="C276">
        <v>4</v>
      </c>
      <c r="D276">
        <v>1</v>
      </c>
      <c r="F276" t="s">
        <v>295</v>
      </c>
      <c r="G276" t="str">
        <f>MID(F276,LastpositionOfChar(F276,"-")+1,LEN(F276)-LastpositionOfChar(F276,"-")-LEN(".out"))</f>
        <v>n4_q60_u90_r1048576_t4194304_c</v>
      </c>
      <c r="H276" t="str">
        <f t="shared" si="8"/>
        <v>vacation n4_q60_u90_r1048576_t4194304_c</v>
      </c>
      <c r="I276" t="str">
        <f t="shared" si="9"/>
        <v>Alg1</v>
      </c>
    </row>
    <row r="277" spans="1:9" x14ac:dyDescent="0.45">
      <c r="A277" t="s">
        <v>46</v>
      </c>
      <c r="B277" t="s">
        <v>1</v>
      </c>
      <c r="C277">
        <v>8</v>
      </c>
      <c r="D277">
        <v>1</v>
      </c>
      <c r="F277" t="s">
        <v>296</v>
      </c>
      <c r="G277" t="str">
        <f>MID(F277,LastpositionOfChar(F277,"-")+1,LEN(F277)-LastpositionOfChar(F277,"-")-LEN(".out"))</f>
        <v>n4_q60_u90_r1048576_t4194304_c</v>
      </c>
      <c r="H277" t="str">
        <f t="shared" si="8"/>
        <v>vacation n4_q60_u90_r1048576_t4194304_c</v>
      </c>
      <c r="I277" t="str">
        <f t="shared" si="9"/>
        <v>Alg1</v>
      </c>
    </row>
    <row r="278" spans="1:9" x14ac:dyDescent="0.45">
      <c r="A278" t="s">
        <v>55</v>
      </c>
      <c r="B278" t="s">
        <v>1</v>
      </c>
      <c r="C278">
        <v>1</v>
      </c>
      <c r="D278">
        <v>1</v>
      </c>
      <c r="F278" t="s">
        <v>297</v>
      </c>
      <c r="G278" t="str">
        <f>MID(F278,LastpositionOfChar(F278,"-")+1,LEN(F278)-LastpositionOfChar(F278,"-")-LEN(".out"))</f>
        <v>a15_i_</v>
      </c>
      <c r="H278" t="str">
        <f t="shared" si="8"/>
        <v>yada a15_i_</v>
      </c>
      <c r="I278" t="str">
        <f t="shared" si="9"/>
        <v>Alg1</v>
      </c>
    </row>
    <row r="279" spans="1:9" x14ac:dyDescent="0.45">
      <c r="A279" t="s">
        <v>55</v>
      </c>
      <c r="B279" t="s">
        <v>1</v>
      </c>
      <c r="C279">
        <v>2</v>
      </c>
      <c r="D279">
        <v>1</v>
      </c>
      <c r="F279" t="s">
        <v>298</v>
      </c>
      <c r="G279" t="str">
        <f>MID(F279,LastpositionOfChar(F279,"-")+1,LEN(F279)-LastpositionOfChar(F279,"-")-LEN(".out"))</f>
        <v>a15_i_</v>
      </c>
      <c r="H279" t="str">
        <f t="shared" si="8"/>
        <v>yada a15_i_</v>
      </c>
      <c r="I279" t="str">
        <f t="shared" si="9"/>
        <v>Alg1</v>
      </c>
    </row>
    <row r="280" spans="1:9" x14ac:dyDescent="0.45">
      <c r="A280" t="s">
        <v>55</v>
      </c>
      <c r="B280" t="s">
        <v>1</v>
      </c>
      <c r="C280">
        <v>4</v>
      </c>
      <c r="D280">
        <v>1</v>
      </c>
      <c r="F280" t="s">
        <v>299</v>
      </c>
      <c r="G280" t="str">
        <f>MID(F280,LastpositionOfChar(F280,"-")+1,LEN(F280)-LastpositionOfChar(F280,"-")-LEN(".out"))</f>
        <v>a15_i_</v>
      </c>
      <c r="H280" t="str">
        <f t="shared" si="8"/>
        <v>yada a15_i_</v>
      </c>
      <c r="I280" t="str">
        <f t="shared" si="9"/>
        <v>Alg1</v>
      </c>
    </row>
    <row r="281" spans="1:9" x14ac:dyDescent="0.45">
      <c r="A281" t="s">
        <v>55</v>
      </c>
      <c r="B281" t="s">
        <v>1</v>
      </c>
      <c r="C281">
        <v>8</v>
      </c>
      <c r="D281">
        <v>1</v>
      </c>
      <c r="F281" t="s">
        <v>300</v>
      </c>
      <c r="G281" t="str">
        <f>MID(F281,LastpositionOfChar(F281,"-")+1,LEN(F281)-LastpositionOfChar(F281,"-")-LEN(".out"))</f>
        <v>a15_i_</v>
      </c>
      <c r="H281" t="str">
        <f t="shared" si="8"/>
        <v>yada a15_i_</v>
      </c>
      <c r="I281" t="str">
        <f t="shared" si="9"/>
        <v>Alg1</v>
      </c>
    </row>
    <row r="282" spans="1:9" x14ac:dyDescent="0.45">
      <c r="A282" t="s">
        <v>12</v>
      </c>
      <c r="B282" t="s">
        <v>140</v>
      </c>
      <c r="C282">
        <v>1</v>
      </c>
      <c r="D282">
        <v>1</v>
      </c>
      <c r="E282">
        <v>31.069299999999998</v>
      </c>
      <c r="F282" t="s">
        <v>301</v>
      </c>
      <c r="G282" t="str">
        <f>MID(F282,LastpositionOfChar(F282,"-")+1,LEN(F282)-LastpositionOfChar(F282,"-")-LEN(".out"))</f>
        <v>v32_r4096_n10_p40_i2_e8_s1_t</v>
      </c>
      <c r="H282" t="str">
        <f t="shared" si="8"/>
        <v>bayes v32_r4096_n10_p40_i2_e8_s1_t</v>
      </c>
      <c r="I282" t="str">
        <f t="shared" si="9"/>
        <v>Alg1 s/w</v>
      </c>
    </row>
    <row r="283" spans="1:9" x14ac:dyDescent="0.45">
      <c r="A283" t="s">
        <v>12</v>
      </c>
      <c r="B283" t="s">
        <v>140</v>
      </c>
      <c r="C283">
        <v>2</v>
      </c>
      <c r="D283">
        <v>1</v>
      </c>
      <c r="E283">
        <v>44.856099999999998</v>
      </c>
      <c r="F283" t="s">
        <v>302</v>
      </c>
      <c r="G283" t="str">
        <f>MID(F283,LastpositionOfChar(F283,"-")+1,LEN(F283)-LastpositionOfChar(F283,"-")-LEN(".out"))</f>
        <v>v32_r4096_n10_p40_i2_e8_s1_t</v>
      </c>
      <c r="H283" t="str">
        <f t="shared" si="8"/>
        <v>bayes v32_r4096_n10_p40_i2_e8_s1_t</v>
      </c>
      <c r="I283" t="str">
        <f t="shared" si="9"/>
        <v>Alg1 s/w</v>
      </c>
    </row>
    <row r="284" spans="1:9" x14ac:dyDescent="0.45">
      <c r="A284" t="s">
        <v>12</v>
      </c>
      <c r="B284" t="s">
        <v>140</v>
      </c>
      <c r="C284">
        <v>4</v>
      </c>
      <c r="D284">
        <v>1</v>
      </c>
      <c r="E284">
        <v>38.282299999999999</v>
      </c>
      <c r="F284" t="s">
        <v>303</v>
      </c>
      <c r="G284" t="str">
        <f>MID(F284,LastpositionOfChar(F284,"-")+1,LEN(F284)-LastpositionOfChar(F284,"-")-LEN(".out"))</f>
        <v>v32_r4096_n10_p40_i2_e8_s1_t</v>
      </c>
      <c r="H284" t="str">
        <f t="shared" si="8"/>
        <v>bayes v32_r4096_n10_p40_i2_e8_s1_t</v>
      </c>
      <c r="I284" t="str">
        <f t="shared" si="9"/>
        <v>Alg1 s/w</v>
      </c>
    </row>
    <row r="285" spans="1:9" x14ac:dyDescent="0.45">
      <c r="A285" t="s">
        <v>12</v>
      </c>
      <c r="B285" t="s">
        <v>140</v>
      </c>
      <c r="C285">
        <v>8</v>
      </c>
      <c r="D285">
        <v>1</v>
      </c>
      <c r="E285">
        <v>51.408900000000003</v>
      </c>
      <c r="F285" t="s">
        <v>304</v>
      </c>
      <c r="G285" t="str">
        <f>MID(F285,LastpositionOfChar(F285,"-")+1,LEN(F285)-LastpositionOfChar(F285,"-")-LEN(".out"))</f>
        <v>v32_r4096_n10_p40_i2_e8_s1_t</v>
      </c>
      <c r="H285" t="str">
        <f t="shared" si="8"/>
        <v>bayes v32_r4096_n10_p40_i2_e8_s1_t</v>
      </c>
      <c r="I285" t="str">
        <f t="shared" si="9"/>
        <v>Alg1 s/w</v>
      </c>
    </row>
    <row r="286" spans="1:9" x14ac:dyDescent="0.45">
      <c r="A286" t="s">
        <v>17</v>
      </c>
      <c r="B286" t="s">
        <v>140</v>
      </c>
      <c r="C286">
        <v>1</v>
      </c>
      <c r="D286">
        <v>1</v>
      </c>
      <c r="E286">
        <v>242.704262</v>
      </c>
      <c r="F286" t="s">
        <v>305</v>
      </c>
      <c r="G286" t="str">
        <f>MID(F286,LastpositionOfChar(F286,"-")+1,LEN(F286)-LastpositionOfChar(F286,"-")-LEN(".out"))</f>
        <v>g16384_s64_n16777216_t</v>
      </c>
      <c r="H286" t="str">
        <f t="shared" si="8"/>
        <v>genome g16384_s64_n16777216_t</v>
      </c>
      <c r="I286" t="str">
        <f t="shared" si="9"/>
        <v>Alg1 s/w</v>
      </c>
    </row>
    <row r="287" spans="1:9" x14ac:dyDescent="0.45">
      <c r="A287" t="s">
        <v>17</v>
      </c>
      <c r="B287" t="s">
        <v>140</v>
      </c>
      <c r="C287">
        <v>2</v>
      </c>
      <c r="D287">
        <v>1</v>
      </c>
      <c r="E287">
        <v>221.21943300000001</v>
      </c>
      <c r="F287" t="s">
        <v>306</v>
      </c>
      <c r="G287" t="str">
        <f>MID(F287,LastpositionOfChar(F287,"-")+1,LEN(F287)-LastpositionOfChar(F287,"-")-LEN(".out"))</f>
        <v>g16384_s64_n16777216_t</v>
      </c>
      <c r="H287" t="str">
        <f t="shared" si="8"/>
        <v>genome g16384_s64_n16777216_t</v>
      </c>
      <c r="I287" t="str">
        <f t="shared" si="9"/>
        <v>Alg1 s/w</v>
      </c>
    </row>
    <row r="288" spans="1:9" x14ac:dyDescent="0.45">
      <c r="A288" t="s">
        <v>17</v>
      </c>
      <c r="B288" t="s">
        <v>140</v>
      </c>
      <c r="C288">
        <v>4</v>
      </c>
      <c r="D288">
        <v>1</v>
      </c>
      <c r="E288">
        <v>102.919719</v>
      </c>
      <c r="F288" t="s">
        <v>307</v>
      </c>
      <c r="G288" t="str">
        <f>MID(F288,LastpositionOfChar(F288,"-")+1,LEN(F288)-LastpositionOfChar(F288,"-")-LEN(".out"))</f>
        <v>g16384_s64_n16777216_t</v>
      </c>
      <c r="H288" t="str">
        <f t="shared" si="8"/>
        <v>genome g16384_s64_n16777216_t</v>
      </c>
      <c r="I288" t="str">
        <f t="shared" si="9"/>
        <v>Alg1 s/w</v>
      </c>
    </row>
    <row r="289" spans="1:9" x14ac:dyDescent="0.45">
      <c r="A289" t="s">
        <v>17</v>
      </c>
      <c r="B289" t="s">
        <v>140</v>
      </c>
      <c r="C289">
        <v>8</v>
      </c>
      <c r="D289">
        <v>1</v>
      </c>
      <c r="E289">
        <v>72.218779999999995</v>
      </c>
      <c r="F289" t="s">
        <v>308</v>
      </c>
      <c r="G289" t="str">
        <f>MID(F289,LastpositionOfChar(F289,"-")+1,LEN(F289)-LastpositionOfChar(F289,"-")-LEN(".out"))</f>
        <v>g16384_s64_n16777216_t</v>
      </c>
      <c r="H289" t="str">
        <f t="shared" si="8"/>
        <v>genome g16384_s64_n16777216_t</v>
      </c>
      <c r="I289" t="str">
        <f t="shared" si="9"/>
        <v>Alg1 s/w</v>
      </c>
    </row>
    <row r="290" spans="1:9" x14ac:dyDescent="0.45">
      <c r="A290" t="s">
        <v>22</v>
      </c>
      <c r="B290" t="s">
        <v>140</v>
      </c>
      <c r="C290">
        <v>1</v>
      </c>
      <c r="D290">
        <v>1</v>
      </c>
      <c r="F290" t="s">
        <v>309</v>
      </c>
      <c r="G290" t="str">
        <f>MID(F290,LastpositionOfChar(F290,"-")+1,LEN(F290)-LastpositionOfChar(F290,"-")-LEN(".out"))</f>
        <v>a10_l128_n262144_s1_t</v>
      </c>
      <c r="H290" t="str">
        <f t="shared" si="8"/>
        <v>intruder a10_l128_n262144_s1_t</v>
      </c>
      <c r="I290" t="str">
        <f t="shared" si="9"/>
        <v>Alg1 s/w</v>
      </c>
    </row>
    <row r="291" spans="1:9" x14ac:dyDescent="0.45">
      <c r="A291" t="s">
        <v>22</v>
      </c>
      <c r="B291" t="s">
        <v>140</v>
      </c>
      <c r="C291">
        <v>2</v>
      </c>
      <c r="D291">
        <v>1</v>
      </c>
      <c r="F291" t="s">
        <v>310</v>
      </c>
      <c r="G291" t="str">
        <f>MID(F291,LastpositionOfChar(F291,"-")+1,LEN(F291)-LastpositionOfChar(F291,"-")-LEN(".out"))</f>
        <v>a10_l128_n262144_s1_t</v>
      </c>
      <c r="H291" t="str">
        <f t="shared" si="8"/>
        <v>intruder a10_l128_n262144_s1_t</v>
      </c>
      <c r="I291" t="str">
        <f t="shared" si="9"/>
        <v>Alg1 s/w</v>
      </c>
    </row>
    <row r="292" spans="1:9" x14ac:dyDescent="0.45">
      <c r="A292" t="s">
        <v>22</v>
      </c>
      <c r="B292" t="s">
        <v>140</v>
      </c>
      <c r="C292">
        <v>4</v>
      </c>
      <c r="D292">
        <v>1</v>
      </c>
      <c r="F292" t="s">
        <v>311</v>
      </c>
      <c r="G292" t="str">
        <f>MID(F292,LastpositionOfChar(F292,"-")+1,LEN(F292)-LastpositionOfChar(F292,"-")-LEN(".out"))</f>
        <v>a10_l128_n262144_s1_t</v>
      </c>
      <c r="H292" t="str">
        <f t="shared" si="8"/>
        <v>intruder a10_l128_n262144_s1_t</v>
      </c>
      <c r="I292" t="str">
        <f t="shared" si="9"/>
        <v>Alg1 s/w</v>
      </c>
    </row>
    <row r="293" spans="1:9" x14ac:dyDescent="0.45">
      <c r="A293" t="s">
        <v>22</v>
      </c>
      <c r="B293" t="s">
        <v>140</v>
      </c>
      <c r="C293">
        <v>8</v>
      </c>
      <c r="D293">
        <v>1</v>
      </c>
      <c r="F293" t="s">
        <v>312</v>
      </c>
      <c r="G293" t="str">
        <f>MID(F293,LastpositionOfChar(F293,"-")+1,LEN(F293)-LastpositionOfChar(F293,"-")-LEN(".out"))</f>
        <v>a10_l128_n262144_s1_t</v>
      </c>
      <c r="H293" t="str">
        <f t="shared" si="8"/>
        <v>intruder a10_l128_n262144_s1_t</v>
      </c>
      <c r="I293" t="str">
        <f t="shared" si="9"/>
        <v>Alg1 s/w</v>
      </c>
    </row>
    <row r="294" spans="1:9" x14ac:dyDescent="0.45">
      <c r="A294" t="s">
        <v>27</v>
      </c>
      <c r="B294" t="s">
        <v>140</v>
      </c>
      <c r="C294">
        <v>1</v>
      </c>
      <c r="D294">
        <v>1</v>
      </c>
      <c r="E294">
        <v>8.1669300000000007</v>
      </c>
      <c r="F294" t="s">
        <v>313</v>
      </c>
      <c r="G294" t="str">
        <f>MID(F294,LastpositionOfChar(F294,"-")+1,LEN(F294)-LastpositionOfChar(F294,"-")-LEN(".out"))</f>
        <v>m40_n40_t0</v>
      </c>
      <c r="H294" t="str">
        <f t="shared" si="8"/>
        <v>kmeans m40_n40_t0</v>
      </c>
      <c r="I294" t="str">
        <f t="shared" si="9"/>
        <v>Alg1 s/w</v>
      </c>
    </row>
    <row r="295" spans="1:9" x14ac:dyDescent="0.45">
      <c r="A295" t="s">
        <v>27</v>
      </c>
      <c r="B295" t="s">
        <v>140</v>
      </c>
      <c r="C295">
        <v>2</v>
      </c>
      <c r="D295">
        <v>1</v>
      </c>
      <c r="E295">
        <v>5.0436399999999999</v>
      </c>
      <c r="F295" t="s">
        <v>314</v>
      </c>
      <c r="G295" t="str">
        <f>MID(F295,LastpositionOfChar(F295,"-")+1,LEN(F295)-LastpositionOfChar(F295,"-")-LEN(".out"))</f>
        <v>m40_n40_t0</v>
      </c>
      <c r="H295" t="str">
        <f t="shared" si="8"/>
        <v>kmeans m40_n40_t0</v>
      </c>
      <c r="I295" t="str">
        <f t="shared" si="9"/>
        <v>Alg1 s/w</v>
      </c>
    </row>
    <row r="296" spans="1:9" x14ac:dyDescent="0.45">
      <c r="A296" t="s">
        <v>27</v>
      </c>
      <c r="B296" t="s">
        <v>140</v>
      </c>
      <c r="C296">
        <v>4</v>
      </c>
      <c r="D296">
        <v>1</v>
      </c>
      <c r="E296">
        <v>4.1929699999999999</v>
      </c>
      <c r="F296" t="s">
        <v>315</v>
      </c>
      <c r="G296" t="str">
        <f>MID(F296,LastpositionOfChar(F296,"-")+1,LEN(F296)-LastpositionOfChar(F296,"-")-LEN(".out"))</f>
        <v>m40_n40_t0</v>
      </c>
      <c r="H296" t="str">
        <f t="shared" si="8"/>
        <v>kmeans m40_n40_t0</v>
      </c>
      <c r="I296" t="str">
        <f t="shared" si="9"/>
        <v>Alg1 s/w</v>
      </c>
    </row>
    <row r="297" spans="1:9" x14ac:dyDescent="0.45">
      <c r="A297" t="s">
        <v>27</v>
      </c>
      <c r="B297" t="s">
        <v>140</v>
      </c>
      <c r="C297">
        <v>8</v>
      </c>
      <c r="D297">
        <v>1</v>
      </c>
      <c r="E297">
        <v>3.7621799999999999</v>
      </c>
      <c r="F297" t="s">
        <v>316</v>
      </c>
      <c r="G297" t="str">
        <f>MID(F297,LastpositionOfChar(F297,"-")+1,LEN(F297)-LastpositionOfChar(F297,"-")-LEN(".out"))</f>
        <v>m40_n40_t0</v>
      </c>
      <c r="H297" t="str">
        <f t="shared" si="8"/>
        <v>kmeans m40_n40_t0</v>
      </c>
      <c r="I297" t="str">
        <f t="shared" si="9"/>
        <v>Alg1 s/w</v>
      </c>
    </row>
    <row r="298" spans="1:9" x14ac:dyDescent="0.45">
      <c r="A298" t="s">
        <v>27</v>
      </c>
      <c r="B298" t="s">
        <v>140</v>
      </c>
      <c r="C298">
        <v>1</v>
      </c>
      <c r="D298">
        <v>1</v>
      </c>
      <c r="E298">
        <v>1.7719800000000001</v>
      </c>
      <c r="F298" t="s">
        <v>317</v>
      </c>
      <c r="G298" t="str">
        <f>MID(F298,LastpositionOfChar(F298,"-")+1,LEN(F298)-LastpositionOfChar(F298,"-")-LEN(".out"))</f>
        <v>m15_n15_t0</v>
      </c>
      <c r="H298" t="str">
        <f t="shared" si="8"/>
        <v>kmeans m15_n15_t0</v>
      </c>
      <c r="I298" t="str">
        <f t="shared" si="9"/>
        <v>Alg1 s/w</v>
      </c>
    </row>
    <row r="299" spans="1:9" x14ac:dyDescent="0.45">
      <c r="A299" t="s">
        <v>27</v>
      </c>
      <c r="B299" t="s">
        <v>140</v>
      </c>
      <c r="C299">
        <v>2</v>
      </c>
      <c r="D299">
        <v>1</v>
      </c>
      <c r="E299">
        <v>1.59846</v>
      </c>
      <c r="F299" t="s">
        <v>318</v>
      </c>
      <c r="G299" t="str">
        <f>MID(F299,LastpositionOfChar(F299,"-")+1,LEN(F299)-LastpositionOfChar(F299,"-")-LEN(".out"))</f>
        <v>m15_n15_t0</v>
      </c>
      <c r="H299" t="str">
        <f t="shared" si="8"/>
        <v>kmeans m15_n15_t0</v>
      </c>
      <c r="I299" t="str">
        <f t="shared" si="9"/>
        <v>Alg1 s/w</v>
      </c>
    </row>
    <row r="300" spans="1:9" x14ac:dyDescent="0.45">
      <c r="A300" t="s">
        <v>27</v>
      </c>
      <c r="B300" t="s">
        <v>140</v>
      </c>
      <c r="C300">
        <v>4</v>
      </c>
      <c r="D300">
        <v>1</v>
      </c>
      <c r="E300">
        <v>1.9509300000000001</v>
      </c>
      <c r="F300" t="s">
        <v>319</v>
      </c>
      <c r="G300" t="str">
        <f>MID(F300,LastpositionOfChar(F300,"-")+1,LEN(F300)-LastpositionOfChar(F300,"-")-LEN(".out"))</f>
        <v>m15_n15_t0</v>
      </c>
      <c r="H300" t="str">
        <f t="shared" si="8"/>
        <v>kmeans m15_n15_t0</v>
      </c>
      <c r="I300" t="str">
        <f t="shared" si="9"/>
        <v>Alg1 s/w</v>
      </c>
    </row>
    <row r="301" spans="1:9" x14ac:dyDescent="0.45">
      <c r="A301" t="s">
        <v>27</v>
      </c>
      <c r="B301" t="s">
        <v>140</v>
      </c>
      <c r="C301">
        <v>8</v>
      </c>
      <c r="D301">
        <v>1</v>
      </c>
      <c r="E301">
        <v>2.6135799999999998</v>
      </c>
      <c r="F301" t="s">
        <v>320</v>
      </c>
      <c r="G301" t="str">
        <f>MID(F301,LastpositionOfChar(F301,"-")+1,LEN(F301)-LastpositionOfChar(F301,"-")-LEN(".out"))</f>
        <v>m15_n15_t0</v>
      </c>
      <c r="H301" t="str">
        <f t="shared" si="8"/>
        <v>kmeans m15_n15_t0</v>
      </c>
      <c r="I301" t="str">
        <f t="shared" si="9"/>
        <v>Alg1 s/w</v>
      </c>
    </row>
    <row r="302" spans="1:9" x14ac:dyDescent="0.45">
      <c r="A302" t="s">
        <v>36</v>
      </c>
      <c r="B302" t="s">
        <v>140</v>
      </c>
      <c r="C302">
        <v>1</v>
      </c>
      <c r="D302">
        <v>1</v>
      </c>
      <c r="E302">
        <v>64.270458000000005</v>
      </c>
      <c r="F302" t="s">
        <v>321</v>
      </c>
      <c r="G302" t="str">
        <f>MID(F302,LastpositionOfChar(F302,"-")+1,LEN(F302)-LastpositionOfChar(F302,"-")-LEN(".out"))</f>
        <v>i_</v>
      </c>
      <c r="H302" t="str">
        <f t="shared" si="8"/>
        <v>labyrinth i_</v>
      </c>
      <c r="I302" t="str">
        <f t="shared" si="9"/>
        <v>Alg1 s/w</v>
      </c>
    </row>
    <row r="303" spans="1:9" x14ac:dyDescent="0.45">
      <c r="A303" t="s">
        <v>36</v>
      </c>
      <c r="B303" t="s">
        <v>140</v>
      </c>
      <c r="C303">
        <v>2</v>
      </c>
      <c r="D303">
        <v>1</v>
      </c>
      <c r="E303">
        <v>223.851609</v>
      </c>
      <c r="F303" t="s">
        <v>322</v>
      </c>
      <c r="G303" t="str">
        <f>MID(F303,LastpositionOfChar(F303,"-")+1,LEN(F303)-LastpositionOfChar(F303,"-")-LEN(".out"))</f>
        <v>i_</v>
      </c>
      <c r="H303" t="str">
        <f t="shared" si="8"/>
        <v>labyrinth i_</v>
      </c>
      <c r="I303" t="str">
        <f t="shared" si="9"/>
        <v>Alg1 s/w</v>
      </c>
    </row>
    <row r="304" spans="1:9" x14ac:dyDescent="0.45">
      <c r="A304" t="s">
        <v>36</v>
      </c>
      <c r="B304" t="s">
        <v>140</v>
      </c>
      <c r="C304">
        <v>4</v>
      </c>
      <c r="D304">
        <v>1</v>
      </c>
      <c r="E304">
        <v>205.04739900000001</v>
      </c>
      <c r="F304" t="s">
        <v>323</v>
      </c>
      <c r="G304" t="str">
        <f>MID(F304,LastpositionOfChar(F304,"-")+1,LEN(F304)-LastpositionOfChar(F304,"-")-LEN(".out"))</f>
        <v>i_</v>
      </c>
      <c r="H304" t="str">
        <f t="shared" si="8"/>
        <v>labyrinth i_</v>
      </c>
      <c r="I304" t="str">
        <f t="shared" si="9"/>
        <v>Alg1 s/w</v>
      </c>
    </row>
    <row r="305" spans="1:9" x14ac:dyDescent="0.45">
      <c r="A305" t="s">
        <v>36</v>
      </c>
      <c r="B305" t="s">
        <v>140</v>
      </c>
      <c r="C305">
        <v>8</v>
      </c>
      <c r="D305">
        <v>1</v>
      </c>
      <c r="E305">
        <v>180.004929</v>
      </c>
      <c r="F305" t="s">
        <v>324</v>
      </c>
      <c r="G305" t="str">
        <f>MID(F305,LastpositionOfChar(F305,"-")+1,LEN(F305)-LastpositionOfChar(F305,"-")-LEN(".out"))</f>
        <v>i_</v>
      </c>
      <c r="H305" t="str">
        <f t="shared" si="8"/>
        <v>labyrinth i_</v>
      </c>
      <c r="I305" t="str">
        <f t="shared" si="9"/>
        <v>Alg1 s/w</v>
      </c>
    </row>
    <row r="306" spans="1:9" x14ac:dyDescent="0.45">
      <c r="A306" t="s">
        <v>41</v>
      </c>
      <c r="B306" t="s">
        <v>140</v>
      </c>
      <c r="C306">
        <v>1</v>
      </c>
      <c r="D306">
        <v>1</v>
      </c>
      <c r="E306">
        <v>12.701223000000001</v>
      </c>
      <c r="F306" t="s">
        <v>325</v>
      </c>
      <c r="G306" t="str">
        <f>MID(F306,LastpositionOfChar(F306,"-")+1,LEN(F306)-LastpositionOfChar(F306,"-")-LEN(".out"))</f>
        <v>s20_i1</v>
      </c>
      <c r="H306" t="str">
        <f t="shared" si="8"/>
        <v>ssca2 s20_i1</v>
      </c>
      <c r="I306" t="str">
        <f t="shared" si="9"/>
        <v>Alg1 s/w</v>
      </c>
    </row>
    <row r="307" spans="1:9" x14ac:dyDescent="0.45">
      <c r="A307" t="s">
        <v>41</v>
      </c>
      <c r="B307" t="s">
        <v>140</v>
      </c>
      <c r="C307">
        <v>2</v>
      </c>
      <c r="D307">
        <v>1</v>
      </c>
      <c r="E307">
        <v>12.599874</v>
      </c>
      <c r="F307" t="s">
        <v>326</v>
      </c>
      <c r="G307" t="str">
        <f>MID(F307,LastpositionOfChar(F307,"-")+1,LEN(F307)-LastpositionOfChar(F307,"-")-LEN(".out"))</f>
        <v>s20_i1</v>
      </c>
      <c r="H307" t="str">
        <f t="shared" si="8"/>
        <v>ssca2 s20_i1</v>
      </c>
      <c r="I307" t="str">
        <f t="shared" si="9"/>
        <v>Alg1 s/w</v>
      </c>
    </row>
    <row r="308" spans="1:9" x14ac:dyDescent="0.45">
      <c r="A308" t="s">
        <v>41</v>
      </c>
      <c r="B308" t="s">
        <v>140</v>
      </c>
      <c r="C308">
        <v>4</v>
      </c>
      <c r="D308">
        <v>1</v>
      </c>
      <c r="E308">
        <v>11.409946</v>
      </c>
      <c r="F308" t="s">
        <v>327</v>
      </c>
      <c r="G308" t="str">
        <f>MID(F308,LastpositionOfChar(F308,"-")+1,LEN(F308)-LastpositionOfChar(F308,"-")-LEN(".out"))</f>
        <v>s20_i1</v>
      </c>
      <c r="H308" t="str">
        <f t="shared" si="8"/>
        <v>ssca2 s20_i1</v>
      </c>
      <c r="I308" t="str">
        <f t="shared" si="9"/>
        <v>Alg1 s/w</v>
      </c>
    </row>
    <row r="309" spans="1:9" x14ac:dyDescent="0.45">
      <c r="A309" t="s">
        <v>41</v>
      </c>
      <c r="B309" t="s">
        <v>140</v>
      </c>
      <c r="C309">
        <v>8</v>
      </c>
      <c r="D309">
        <v>1</v>
      </c>
      <c r="E309">
        <v>10.674238000000001</v>
      </c>
      <c r="F309" t="s">
        <v>328</v>
      </c>
      <c r="G309" t="str">
        <f>MID(F309,LastpositionOfChar(F309,"-")+1,LEN(F309)-LastpositionOfChar(F309,"-")-LEN(".out"))</f>
        <v>s20_i1</v>
      </c>
      <c r="H309" t="str">
        <f t="shared" si="8"/>
        <v>ssca2 s20_i1</v>
      </c>
      <c r="I309" t="str">
        <f t="shared" si="9"/>
        <v>Alg1 s/w</v>
      </c>
    </row>
    <row r="310" spans="1:9" x14ac:dyDescent="0.45">
      <c r="A310" t="s">
        <v>46</v>
      </c>
      <c r="B310" t="s">
        <v>140</v>
      </c>
      <c r="C310">
        <v>1</v>
      </c>
      <c r="D310">
        <v>1</v>
      </c>
      <c r="F310" t="s">
        <v>329</v>
      </c>
      <c r="G310" t="str">
        <f>MID(F310,LastpositionOfChar(F310,"-")+1,LEN(F310)-LastpositionOfChar(F310,"-")-LEN(".out"))</f>
        <v>n2_q90_u98_r1048576_t4194304_c</v>
      </c>
      <c r="H310" t="str">
        <f t="shared" si="8"/>
        <v>vacation n2_q90_u98_r1048576_t4194304_c</v>
      </c>
      <c r="I310" t="str">
        <f t="shared" si="9"/>
        <v>Alg1 s/w</v>
      </c>
    </row>
    <row r="311" spans="1:9" x14ac:dyDescent="0.45">
      <c r="A311" t="s">
        <v>46</v>
      </c>
      <c r="B311" t="s">
        <v>140</v>
      </c>
      <c r="C311">
        <v>2</v>
      </c>
      <c r="D311">
        <v>1</v>
      </c>
      <c r="F311" t="s">
        <v>330</v>
      </c>
      <c r="G311" t="str">
        <f>MID(F311,LastpositionOfChar(F311,"-")+1,LEN(F311)-LastpositionOfChar(F311,"-")-LEN(".out"))</f>
        <v>n2_q90_u98_r1048576_t4194304_c</v>
      </c>
      <c r="H311" t="str">
        <f t="shared" si="8"/>
        <v>vacation n2_q90_u98_r1048576_t4194304_c</v>
      </c>
      <c r="I311" t="str">
        <f t="shared" si="9"/>
        <v>Alg1 s/w</v>
      </c>
    </row>
    <row r="312" spans="1:9" x14ac:dyDescent="0.45">
      <c r="A312" t="s">
        <v>46</v>
      </c>
      <c r="B312" t="s">
        <v>140</v>
      </c>
      <c r="C312">
        <v>4</v>
      </c>
      <c r="D312">
        <v>1</v>
      </c>
      <c r="F312" t="s">
        <v>331</v>
      </c>
      <c r="G312" t="str">
        <f>MID(F312,LastpositionOfChar(F312,"-")+1,LEN(F312)-LastpositionOfChar(F312,"-")-LEN(".out"))</f>
        <v>n2_q90_u98_r1048576_t4194304_c</v>
      </c>
      <c r="H312" t="str">
        <f t="shared" si="8"/>
        <v>vacation n2_q90_u98_r1048576_t4194304_c</v>
      </c>
      <c r="I312" t="str">
        <f t="shared" si="9"/>
        <v>Alg1 s/w</v>
      </c>
    </row>
    <row r="313" spans="1:9" x14ac:dyDescent="0.45">
      <c r="A313" t="s">
        <v>46</v>
      </c>
      <c r="B313" t="s">
        <v>140</v>
      </c>
      <c r="C313">
        <v>8</v>
      </c>
      <c r="D313">
        <v>1</v>
      </c>
      <c r="F313" t="s">
        <v>332</v>
      </c>
      <c r="G313" t="str">
        <f>MID(F313,LastpositionOfChar(F313,"-")+1,LEN(F313)-LastpositionOfChar(F313,"-")-LEN(".out"))</f>
        <v>n2_q90_u98_r1048576_t4194304_c</v>
      </c>
      <c r="H313" t="str">
        <f t="shared" si="8"/>
        <v>vacation n2_q90_u98_r1048576_t4194304_c</v>
      </c>
      <c r="I313" t="str">
        <f t="shared" si="9"/>
        <v>Alg1 s/w</v>
      </c>
    </row>
    <row r="314" spans="1:9" x14ac:dyDescent="0.45">
      <c r="A314" t="s">
        <v>46</v>
      </c>
      <c r="B314" t="s">
        <v>140</v>
      </c>
      <c r="C314">
        <v>1</v>
      </c>
      <c r="D314">
        <v>1</v>
      </c>
      <c r="F314" t="s">
        <v>333</v>
      </c>
      <c r="G314" t="str">
        <f>MID(F314,LastpositionOfChar(F314,"-")+1,LEN(F314)-LastpositionOfChar(F314,"-")-LEN(".out"))</f>
        <v>n4_q60_u90_r1048576_t4194304_c</v>
      </c>
      <c r="H314" t="str">
        <f t="shared" si="8"/>
        <v>vacation n4_q60_u90_r1048576_t4194304_c</v>
      </c>
      <c r="I314" t="str">
        <f t="shared" si="9"/>
        <v>Alg1 s/w</v>
      </c>
    </row>
    <row r="315" spans="1:9" x14ac:dyDescent="0.45">
      <c r="A315" t="s">
        <v>46</v>
      </c>
      <c r="B315" t="s">
        <v>140</v>
      </c>
      <c r="C315">
        <v>2</v>
      </c>
      <c r="D315">
        <v>1</v>
      </c>
      <c r="F315" t="s">
        <v>334</v>
      </c>
      <c r="G315" t="str">
        <f>MID(F315,LastpositionOfChar(F315,"-")+1,LEN(F315)-LastpositionOfChar(F315,"-")-LEN(".out"))</f>
        <v>n4_q60_u90_r1048576_t4194304_c</v>
      </c>
      <c r="H315" t="str">
        <f t="shared" si="8"/>
        <v>vacation n4_q60_u90_r1048576_t4194304_c</v>
      </c>
      <c r="I315" t="str">
        <f t="shared" si="9"/>
        <v>Alg1 s/w</v>
      </c>
    </row>
    <row r="316" spans="1:9" x14ac:dyDescent="0.45">
      <c r="A316" t="s">
        <v>46</v>
      </c>
      <c r="B316" t="s">
        <v>140</v>
      </c>
      <c r="C316">
        <v>4</v>
      </c>
      <c r="D316">
        <v>1</v>
      </c>
      <c r="F316" t="s">
        <v>335</v>
      </c>
      <c r="G316" t="str">
        <f>MID(F316,LastpositionOfChar(F316,"-")+1,LEN(F316)-LastpositionOfChar(F316,"-")-LEN(".out"))</f>
        <v>n4_q60_u90_r1048576_t4194304_c</v>
      </c>
      <c r="H316" t="str">
        <f t="shared" si="8"/>
        <v>vacation n4_q60_u90_r1048576_t4194304_c</v>
      </c>
      <c r="I316" t="str">
        <f t="shared" si="9"/>
        <v>Alg1 s/w</v>
      </c>
    </row>
    <row r="317" spans="1:9" x14ac:dyDescent="0.45">
      <c r="A317" t="s">
        <v>46</v>
      </c>
      <c r="B317" t="s">
        <v>140</v>
      </c>
      <c r="C317">
        <v>8</v>
      </c>
      <c r="D317">
        <v>1</v>
      </c>
      <c r="F317" t="s">
        <v>336</v>
      </c>
      <c r="G317" t="str">
        <f>MID(F317,LastpositionOfChar(F317,"-")+1,LEN(F317)-LastpositionOfChar(F317,"-")-LEN(".out"))</f>
        <v>n4_q60_u90_r1048576_t4194304_c</v>
      </c>
      <c r="H317" t="str">
        <f t="shared" si="8"/>
        <v>vacation n4_q60_u90_r1048576_t4194304_c</v>
      </c>
      <c r="I317" t="str">
        <f t="shared" si="9"/>
        <v>Alg1 s/w</v>
      </c>
    </row>
    <row r="318" spans="1:9" x14ac:dyDescent="0.45">
      <c r="A318" t="s">
        <v>55</v>
      </c>
      <c r="B318" t="s">
        <v>140</v>
      </c>
      <c r="C318">
        <v>1</v>
      </c>
      <c r="D318">
        <v>1</v>
      </c>
      <c r="F318" t="s">
        <v>337</v>
      </c>
      <c r="G318" t="str">
        <f>MID(F318,LastpositionOfChar(F318,"-")+1,LEN(F318)-LastpositionOfChar(F318,"-")-LEN(".out"))</f>
        <v>a15_i_</v>
      </c>
      <c r="H318" t="str">
        <f t="shared" si="8"/>
        <v>yada a15_i_</v>
      </c>
      <c r="I318" t="str">
        <f t="shared" si="9"/>
        <v>Alg1 s/w</v>
      </c>
    </row>
    <row r="319" spans="1:9" x14ac:dyDescent="0.45">
      <c r="A319" t="s">
        <v>55</v>
      </c>
      <c r="B319" t="s">
        <v>140</v>
      </c>
      <c r="C319">
        <v>2</v>
      </c>
      <c r="D319">
        <v>1</v>
      </c>
      <c r="F319" t="s">
        <v>338</v>
      </c>
      <c r="G319" t="str">
        <f>MID(F319,LastpositionOfChar(F319,"-")+1,LEN(F319)-LastpositionOfChar(F319,"-")-LEN(".out"))</f>
        <v>a15_i_</v>
      </c>
      <c r="H319" t="str">
        <f t="shared" si="8"/>
        <v>yada a15_i_</v>
      </c>
      <c r="I319" t="str">
        <f t="shared" si="9"/>
        <v>Alg1 s/w</v>
      </c>
    </row>
    <row r="320" spans="1:9" x14ac:dyDescent="0.45">
      <c r="A320" t="s">
        <v>55</v>
      </c>
      <c r="B320" t="s">
        <v>140</v>
      </c>
      <c r="C320">
        <v>4</v>
      </c>
      <c r="D320">
        <v>1</v>
      </c>
      <c r="F320" t="s">
        <v>339</v>
      </c>
      <c r="G320" t="str">
        <f>MID(F320,LastpositionOfChar(F320,"-")+1,LEN(F320)-LastpositionOfChar(F320,"-")-LEN(".out"))</f>
        <v>a15_i_</v>
      </c>
      <c r="H320" t="str">
        <f t="shared" si="8"/>
        <v>yada a15_i_</v>
      </c>
      <c r="I320" t="str">
        <f t="shared" si="9"/>
        <v>Alg1 s/w</v>
      </c>
    </row>
    <row r="321" spans="1:9" x14ac:dyDescent="0.45">
      <c r="A321" t="s">
        <v>55</v>
      </c>
      <c r="B321" t="s">
        <v>140</v>
      </c>
      <c r="C321">
        <v>8</v>
      </c>
      <c r="D321">
        <v>1</v>
      </c>
      <c r="F321" t="s">
        <v>340</v>
      </c>
      <c r="G321" t="str">
        <f>MID(F321,LastpositionOfChar(F321,"-")+1,LEN(F321)-LastpositionOfChar(F321,"-")-LEN(".out"))</f>
        <v>a15_i_</v>
      </c>
      <c r="H321" t="str">
        <f t="shared" si="8"/>
        <v>yada a15_i_</v>
      </c>
      <c r="I321" t="str">
        <f t="shared" si="9"/>
        <v>Alg1 s/w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kmeans</vt:lpstr>
      <vt:lpstr>all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Brown</dc:creator>
  <cp:lastModifiedBy>Trevor Brown</cp:lastModifiedBy>
  <dcterms:created xsi:type="dcterms:W3CDTF">2016-05-07T17:16:52Z</dcterms:created>
  <dcterms:modified xsi:type="dcterms:W3CDTF">2016-05-08T16:33:41Z</dcterms:modified>
</cp:coreProperties>
</file>